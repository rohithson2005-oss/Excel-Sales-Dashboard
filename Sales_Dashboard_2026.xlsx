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166925"/>
  <mc:AlternateContent xmlns:mc="http://schemas.openxmlformats.org/markup-compatibility/2006">
    <mc:Choice Requires="x15">
      <x15ac:absPath xmlns:x15ac="http://schemas.microsoft.com/office/spreadsheetml/2010/11/ac" url="https://d.docs.live.net/9cb154024f7e8528/"/>
    </mc:Choice>
  </mc:AlternateContent>
  <xr:revisionPtr revIDLastSave="0" documentId="8_{BD6D5AB9-EE6F-49D8-B2D9-687C155A1C1B}" xr6:coauthVersionLast="47" xr6:coauthVersionMax="47" xr10:uidLastSave="{00000000-0000-0000-0000-000000000000}"/>
  <bookViews>
    <workbookView xWindow="-108" yWindow="-108" windowWidth="23256" windowHeight="13176" tabRatio="644" firstSheet="7" activeTab="16" xr2:uid="{B8BD8255-C63B-45AF-A953-BAB4CF3A6FCD}"/>
  </bookViews>
  <sheets>
    <sheet name="Sheet1" sheetId="1" r:id="rId1"/>
    <sheet name="sheet 2" sheetId="3" r:id="rId2"/>
    <sheet name="Sheet4" sheetId="4" r:id="rId3"/>
    <sheet name="Sheet6" sheetId="6" r:id="rId4"/>
    <sheet name="Sheet5" sheetId="5" r:id="rId5"/>
    <sheet name="Sheet3" sheetId="8" r:id="rId6"/>
    <sheet name="Sheet2" sheetId="9" r:id="rId7"/>
    <sheet name="Sheet7" sheetId="10" r:id="rId8"/>
    <sheet name="Sheet8" sheetId="11" r:id="rId9"/>
    <sheet name="Sheet9" sheetId="12" r:id="rId10"/>
    <sheet name="Sheet10" sheetId="13" r:id="rId11"/>
    <sheet name="Sheet12" sheetId="15" r:id="rId12"/>
    <sheet name="Sheet13" sheetId="16" r:id="rId13"/>
    <sheet name="Sheet15" sheetId="18" r:id="rId14"/>
    <sheet name="PIVOT TABLE" sheetId="21" r:id="rId15"/>
    <sheet name="Sheet16" sheetId="19" r:id="rId16"/>
    <sheet name="Sheet17" sheetId="20" r:id="rId17"/>
  </sheets>
  <definedNames>
    <definedName name="Slicer_Product">#N/A</definedName>
    <definedName name="Slicer_Region">#N/A</definedName>
    <definedName name="Slicer_Sales_Person">#N/A</definedName>
  </definedNames>
  <calcPr calcId="191029"/>
  <pivotCaches>
    <pivotCache cacheId="0" r:id="rId18"/>
    <pivotCache cacheId="1" r:id="rId19"/>
  </pivotCaches>
  <extLs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6" l="1"/>
  <c r="C7" i="6"/>
  <c r="L8" i="19"/>
  <c r="L6" i="19"/>
  <c r="L4" i="19"/>
  <c r="L2" i="19"/>
  <c r="I3" i="19"/>
  <c r="I4" i="19"/>
  <c r="I5" i="19"/>
  <c r="I6" i="19"/>
  <c r="I7" i="19"/>
  <c r="I8" i="19"/>
  <c r="I9" i="19"/>
  <c r="I10" i="19"/>
  <c r="I11" i="19"/>
  <c r="I12" i="19"/>
  <c r="I13" i="19"/>
  <c r="I14" i="19"/>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2" i="19"/>
  <c r="H10" i="11"/>
  <c r="B9" i="11"/>
  <c r="E40" i="8" a="1"/>
  <c r="O27" i="4"/>
  <c r="P27" i="4"/>
  <c r="Q27" i="4"/>
  <c r="R27" i="4"/>
  <c r="S27" i="4" s="1"/>
  <c r="T27" i="4" s="1"/>
  <c r="U27" i="4" s="1"/>
  <c r="V27" i="4" s="1"/>
  <c r="W27" i="4" s="1"/>
  <c r="X27" i="4" s="1"/>
  <c r="O28" i="4"/>
  <c r="P28" i="4"/>
  <c r="Q28" i="4" s="1"/>
  <c r="R28" i="4" s="1"/>
  <c r="S28" i="4" s="1"/>
  <c r="T28" i="4" s="1"/>
  <c r="U28" i="4" s="1"/>
  <c r="V28" i="4" s="1"/>
  <c r="W28" i="4" s="1"/>
  <c r="X28" i="4" s="1"/>
  <c r="O29" i="4"/>
  <c r="P29" i="4"/>
  <c r="Q29" i="4" s="1"/>
  <c r="R29" i="4" s="1"/>
  <c r="S29" i="4" s="1"/>
  <c r="T29" i="4" s="1"/>
  <c r="U29" i="4" s="1"/>
  <c r="V29" i="4" s="1"/>
  <c r="W29" i="4" s="1"/>
  <c r="X29" i="4" s="1"/>
  <c r="O30" i="4"/>
  <c r="P30" i="4"/>
  <c r="Q30" i="4"/>
  <c r="R30" i="4"/>
  <c r="S30" i="4"/>
  <c r="T30" i="4"/>
  <c r="U30" i="4" s="1"/>
  <c r="V30" i="4" s="1"/>
  <c r="W30" i="4" s="1"/>
  <c r="X30" i="4" s="1"/>
  <c r="O31" i="4"/>
  <c r="P31" i="4" s="1"/>
  <c r="Q31" i="4" s="1"/>
  <c r="R31" i="4" s="1"/>
  <c r="S31" i="4" s="1"/>
  <c r="T31" i="4" s="1"/>
  <c r="U31" i="4" s="1"/>
  <c r="V31" i="4" s="1"/>
  <c r="W31" i="4" s="1"/>
  <c r="X31" i="4" s="1"/>
  <c r="O32" i="4"/>
  <c r="P32" i="4"/>
  <c r="Q32" i="4" s="1"/>
  <c r="R32" i="4" s="1"/>
  <c r="S32" i="4" s="1"/>
  <c r="T32" i="4" s="1"/>
  <c r="U32" i="4" s="1"/>
  <c r="V32" i="4" s="1"/>
  <c r="W32" i="4" s="1"/>
  <c r="X32" i="4" s="1"/>
  <c r="O33" i="4"/>
  <c r="P33" i="4"/>
  <c r="Q33" i="4"/>
  <c r="R33" i="4"/>
  <c r="S33" i="4" s="1"/>
  <c r="T33" i="4" s="1"/>
  <c r="U33" i="4" s="1"/>
  <c r="V33" i="4" s="1"/>
  <c r="W33" i="4" s="1"/>
  <c r="X33" i="4" s="1"/>
  <c r="O34" i="4"/>
  <c r="P34" i="4"/>
  <c r="Q34" i="4" s="1"/>
  <c r="R34" i="4" s="1"/>
  <c r="S34" i="4" s="1"/>
  <c r="T34" i="4" s="1"/>
  <c r="U34" i="4" s="1"/>
  <c r="V34" i="4" s="1"/>
  <c r="W34" i="4" s="1"/>
  <c r="X34" i="4" s="1"/>
  <c r="O35" i="4"/>
  <c r="P35" i="4"/>
  <c r="Q35" i="4"/>
  <c r="R35" i="4"/>
  <c r="S35" i="4" s="1"/>
  <c r="T35" i="4" s="1"/>
  <c r="U35" i="4" s="1"/>
  <c r="V35" i="4" s="1"/>
  <c r="W35" i="4" s="1"/>
  <c r="X35" i="4" s="1"/>
  <c r="O36" i="4"/>
  <c r="P36" i="4"/>
  <c r="Q36" i="4"/>
  <c r="R36" i="4"/>
  <c r="S36" i="4"/>
  <c r="T36" i="4"/>
  <c r="U36" i="4" s="1"/>
  <c r="V36" i="4" s="1"/>
  <c r="W36" i="4" s="1"/>
  <c r="X36" i="4" s="1"/>
  <c r="N28" i="4"/>
  <c r="N29" i="4"/>
  <c r="N30" i="4"/>
  <c r="N31" i="4"/>
  <c r="N32" i="4"/>
  <c r="N33" i="4"/>
  <c r="N34" i="4"/>
  <c r="N35" i="4"/>
  <c r="N36" i="4"/>
  <c r="N27" i="4"/>
  <c r="A65" i="12" a="1"/>
  <c r="A52" i="12" a="1"/>
  <c r="A39" i="12" a="1"/>
  <c r="A27" i="12" a="1"/>
  <c r="A12" i="12" a="1"/>
  <c r="A67" i="11" a="1"/>
  <c r="H28" i="11" a="1"/>
  <c r="A45" i="11" a="1"/>
  <c r="D45" i="11" a="1"/>
  <c r="G45" i="11" a="1"/>
  <c r="D25" i="11" a="1"/>
  <c r="B19" i="11"/>
  <c r="H31" i="9"/>
  <c r="D13" i="10"/>
  <c r="E4" i="10"/>
  <c r="H14" i="9"/>
  <c r="I38" i="9" a="1"/>
  <c r="H27" i="9" a="1"/>
  <c r="H23" i="9"/>
  <c r="H93" i="8"/>
  <c r="H94" i="8"/>
  <c r="H95" i="8"/>
  <c r="H96" i="8"/>
  <c r="H97" i="8"/>
  <c r="H98" i="8"/>
  <c r="H99" i="8"/>
  <c r="H100" i="8"/>
  <c r="H101" i="8"/>
  <c r="H92" i="8"/>
  <c r="G93" i="8"/>
  <c r="G94" i="8"/>
  <c r="G95" i="8"/>
  <c r="G96" i="8"/>
  <c r="G97" i="8"/>
  <c r="G98" i="8"/>
  <c r="G99" i="8"/>
  <c r="G100" i="8"/>
  <c r="G101" i="8"/>
  <c r="G92" i="8"/>
  <c r="F93" i="8"/>
  <c r="F94" i="8"/>
  <c r="F95" i="8"/>
  <c r="F96" i="8"/>
  <c r="F97" i="8"/>
  <c r="F98" i="8"/>
  <c r="F99" i="8"/>
  <c r="F100" i="8"/>
  <c r="F101" i="8"/>
  <c r="F92" i="8"/>
  <c r="D92" i="8"/>
  <c r="E92" i="8"/>
  <c r="E93" i="8"/>
  <c r="E94" i="8"/>
  <c r="E95" i="8"/>
  <c r="E96" i="8"/>
  <c r="E97" i="8"/>
  <c r="E98" i="8"/>
  <c r="E99" i="8"/>
  <c r="E100" i="8"/>
  <c r="E101" i="8"/>
  <c r="D93" i="8"/>
  <c r="D94" i="8"/>
  <c r="D95" i="8"/>
  <c r="D96" i="8"/>
  <c r="D97" i="8"/>
  <c r="D98" i="8"/>
  <c r="D99" i="8"/>
  <c r="D100" i="8"/>
  <c r="D101" i="8"/>
  <c r="C12" i="8"/>
  <c r="C93" i="8"/>
  <c r="C94" i="8"/>
  <c r="C95" i="8"/>
  <c r="C96" i="8"/>
  <c r="C97" i="8"/>
  <c r="C98" i="8"/>
  <c r="C99" i="8"/>
  <c r="C100" i="8"/>
  <c r="C101" i="8"/>
  <c r="C92" i="8"/>
  <c r="B93" i="8"/>
  <c r="B94" i="8"/>
  <c r="B95" i="8"/>
  <c r="B96" i="8"/>
  <c r="B97" i="8"/>
  <c r="B98" i="8"/>
  <c r="B99" i="8"/>
  <c r="B100" i="8"/>
  <c r="B101" i="8"/>
  <c r="B92" i="8"/>
  <c r="A93" i="8"/>
  <c r="A94" i="8"/>
  <c r="A95" i="8"/>
  <c r="A96" i="8"/>
  <c r="A97" i="8"/>
  <c r="A98" i="8"/>
  <c r="A99" i="8"/>
  <c r="A100" i="8"/>
  <c r="A101" i="8"/>
  <c r="A92" i="8"/>
  <c r="P5" i="3"/>
  <c r="P6" i="3"/>
  <c r="P7" i="3" s="1"/>
  <c r="P4" i="3"/>
  <c r="G15" i="4"/>
  <c r="P3" i="3"/>
  <c r="O3" i="3"/>
  <c r="M4" i="3"/>
  <c r="N4" i="3" s="1"/>
  <c r="M5" i="3"/>
  <c r="N5" i="3" s="1"/>
  <c r="M6" i="3"/>
  <c r="N6" i="3" s="1"/>
  <c r="M7" i="3"/>
  <c r="N7" i="3" s="1"/>
  <c r="M3" i="3"/>
  <c r="L4" i="3"/>
  <c r="L5" i="3"/>
  <c r="L6" i="3"/>
  <c r="L7" i="3"/>
  <c r="L3" i="3"/>
  <c r="K4" i="3"/>
  <c r="K5" i="3"/>
  <c r="K6" i="3"/>
  <c r="K7" i="3"/>
  <c r="K3" i="3"/>
  <c r="J4" i="3"/>
  <c r="J5" i="3"/>
  <c r="J6" i="3"/>
  <c r="J7" i="3"/>
  <c r="J3" i="3"/>
  <c r="F71" i="8"/>
  <c r="C71" i="8"/>
  <c r="E61" i="8"/>
  <c r="C60" i="8"/>
  <c r="G47" i="8"/>
  <c r="G48" i="8"/>
  <c r="G46" i="8"/>
  <c r="F47" i="8"/>
  <c r="F48" i="8"/>
  <c r="F46" i="8"/>
  <c r="C37" i="8"/>
  <c r="B31" i="8"/>
  <c r="B19" i="8"/>
  <c r="B20" i="8"/>
  <c r="B25" i="8"/>
  <c r="B24" i="8"/>
  <c r="G16" i="5" a="1"/>
  <c r="F16" i="5" a="1"/>
  <c r="C31" i="5"/>
  <c r="C30" i="5"/>
  <c r="C29" i="5"/>
  <c r="C28" i="5"/>
  <c r="C27" i="5"/>
  <c r="C98" i="6"/>
  <c r="B60" i="6"/>
  <c r="E87" i="6"/>
  <c r="B74" i="6"/>
  <c r="G63" i="6"/>
  <c r="C47" i="6"/>
  <c r="D40" i="6"/>
  <c r="D39" i="6"/>
  <c r="E32" i="6"/>
  <c r="B30" i="6"/>
  <c r="D20" i="6"/>
  <c r="E12" i="6"/>
  <c r="E11" i="6"/>
  <c r="E10" i="6"/>
  <c r="B39" i="4"/>
  <c r="B40" i="4" s="1"/>
  <c r="B41" i="4" s="1"/>
  <c r="B42" i="4" s="1"/>
  <c r="B43" i="4" s="1"/>
  <c r="B44" i="4" s="1"/>
  <c r="B45" i="4" s="1"/>
  <c r="B46" i="4" s="1"/>
  <c r="B47" i="4" s="1"/>
  <c r="C39" i="4"/>
  <c r="C40" i="4" s="1"/>
  <c r="C41" i="4" s="1"/>
  <c r="C42" i="4" s="1"/>
  <c r="C43" i="4" s="1"/>
  <c r="C44" i="4" s="1"/>
  <c r="C45" i="4" s="1"/>
  <c r="C46" i="4" s="1"/>
  <c r="C47" i="4" s="1"/>
  <c r="D39" i="4"/>
  <c r="E39" i="4"/>
  <c r="F39" i="4"/>
  <c r="F40" i="4" s="1"/>
  <c r="F41" i="4" s="1"/>
  <c r="F42" i="4" s="1"/>
  <c r="F43" i="4" s="1"/>
  <c r="F44" i="4" s="1"/>
  <c r="F45" i="4" s="1"/>
  <c r="F46" i="4" s="1"/>
  <c r="F47" i="4" s="1"/>
  <c r="G39" i="4"/>
  <c r="G40" i="4" s="1"/>
  <c r="G41" i="4" s="1"/>
  <c r="G42" i="4" s="1"/>
  <c r="G43" i="4" s="1"/>
  <c r="G44" i="4" s="1"/>
  <c r="G45" i="4" s="1"/>
  <c r="G46" i="4" s="1"/>
  <c r="G47" i="4" s="1"/>
  <c r="H39" i="4"/>
  <c r="H40" i="4" s="1"/>
  <c r="H41" i="4" s="1"/>
  <c r="H42" i="4" s="1"/>
  <c r="H43" i="4" s="1"/>
  <c r="H44" i="4" s="1"/>
  <c r="H45" i="4" s="1"/>
  <c r="H46" i="4" s="1"/>
  <c r="H47" i="4" s="1"/>
  <c r="I39" i="4"/>
  <c r="I40" i="4" s="1"/>
  <c r="I41" i="4" s="1"/>
  <c r="I42" i="4" s="1"/>
  <c r="I43" i="4" s="1"/>
  <c r="I44" i="4" s="1"/>
  <c r="I45" i="4" s="1"/>
  <c r="I46" i="4" s="1"/>
  <c r="I47" i="4" s="1"/>
  <c r="J39" i="4"/>
  <c r="J40" i="4" s="1"/>
  <c r="J41" i="4" s="1"/>
  <c r="J42" i="4" s="1"/>
  <c r="J43" i="4" s="1"/>
  <c r="J44" i="4" s="1"/>
  <c r="J45" i="4" s="1"/>
  <c r="J46" i="4" s="1"/>
  <c r="J47" i="4" s="1"/>
  <c r="K39" i="4"/>
  <c r="K40" i="4" s="1"/>
  <c r="K41" i="4" s="1"/>
  <c r="K42" i="4" s="1"/>
  <c r="K43" i="4" s="1"/>
  <c r="K44" i="4" s="1"/>
  <c r="K45" i="4" s="1"/>
  <c r="K46" i="4" s="1"/>
  <c r="K47" i="4" s="1"/>
  <c r="D40" i="4"/>
  <c r="D41" i="4" s="1"/>
  <c r="D42" i="4" s="1"/>
  <c r="D43" i="4" s="1"/>
  <c r="D44" i="4" s="1"/>
  <c r="D45" i="4" s="1"/>
  <c r="D46" i="4" s="1"/>
  <c r="D47" i="4" s="1"/>
  <c r="E40" i="4"/>
  <c r="E41" i="4" s="1"/>
  <c r="E42" i="4" s="1"/>
  <c r="E43" i="4" s="1"/>
  <c r="E44" i="4" s="1"/>
  <c r="E45" i="4" s="1"/>
  <c r="E46" i="4" s="1"/>
  <c r="E47" i="4" s="1"/>
  <c r="I5" i="5"/>
  <c r="I6" i="5"/>
  <c r="I7" i="5"/>
  <c r="I8" i="5"/>
  <c r="I4" i="5"/>
  <c r="K5" i="4"/>
  <c r="K6" i="4"/>
  <c r="K7" i="4"/>
  <c r="K8" i="4"/>
  <c r="K9" i="4"/>
  <c r="K10" i="4"/>
  <c r="K11" i="4"/>
  <c r="K12" i="4"/>
  <c r="K4" i="4"/>
  <c r="G5" i="4"/>
  <c r="G6" i="4"/>
  <c r="G7" i="4"/>
  <c r="G8" i="4"/>
  <c r="G9" i="4"/>
  <c r="G10" i="4"/>
  <c r="G11" i="4"/>
  <c r="G12" i="4"/>
  <c r="H8" i="5"/>
  <c r="H7" i="5"/>
  <c r="H6" i="5"/>
  <c r="H5" i="5"/>
  <c r="H4" i="5"/>
  <c r="C28" i="4"/>
  <c r="D28" i="4"/>
  <c r="E28" i="4"/>
  <c r="F28" i="4"/>
  <c r="G28" i="4"/>
  <c r="H28" i="4"/>
  <c r="I28" i="4"/>
  <c r="J28" i="4"/>
  <c r="K28" i="4"/>
  <c r="C29" i="4"/>
  <c r="D29" i="4"/>
  <c r="E29" i="4"/>
  <c r="F29" i="4"/>
  <c r="G29" i="4"/>
  <c r="H29" i="4"/>
  <c r="I29" i="4"/>
  <c r="J29" i="4"/>
  <c r="K29" i="4"/>
  <c r="C30" i="4"/>
  <c r="D30" i="4"/>
  <c r="E30" i="4"/>
  <c r="F30" i="4"/>
  <c r="G30" i="4"/>
  <c r="H30" i="4"/>
  <c r="I30" i="4"/>
  <c r="J30" i="4"/>
  <c r="K30" i="4"/>
  <c r="C31" i="4"/>
  <c r="D31" i="4"/>
  <c r="E31" i="4"/>
  <c r="F31" i="4"/>
  <c r="G31" i="4"/>
  <c r="H31" i="4"/>
  <c r="I31" i="4"/>
  <c r="J31" i="4"/>
  <c r="K31" i="4"/>
  <c r="C32" i="4"/>
  <c r="D32" i="4"/>
  <c r="E32" i="4"/>
  <c r="F32" i="4"/>
  <c r="G32" i="4"/>
  <c r="H32" i="4"/>
  <c r="I32" i="4"/>
  <c r="J32" i="4"/>
  <c r="K32" i="4"/>
  <c r="C33" i="4"/>
  <c r="D33" i="4"/>
  <c r="E33" i="4"/>
  <c r="F33" i="4"/>
  <c r="G33" i="4"/>
  <c r="H33" i="4"/>
  <c r="I33" i="4"/>
  <c r="J33" i="4"/>
  <c r="K33" i="4"/>
  <c r="C34" i="4"/>
  <c r="D34" i="4"/>
  <c r="E34" i="4"/>
  <c r="F34" i="4"/>
  <c r="G34" i="4"/>
  <c r="H34" i="4"/>
  <c r="I34" i="4"/>
  <c r="J34" i="4"/>
  <c r="K34" i="4"/>
  <c r="C35" i="4"/>
  <c r="D35" i="4"/>
  <c r="E35" i="4"/>
  <c r="F35" i="4"/>
  <c r="G35" i="4"/>
  <c r="H35" i="4"/>
  <c r="I35" i="4"/>
  <c r="J35" i="4"/>
  <c r="K35" i="4"/>
  <c r="C36" i="4"/>
  <c r="D36" i="4"/>
  <c r="E36" i="4"/>
  <c r="F36" i="4"/>
  <c r="G36" i="4"/>
  <c r="H36" i="4"/>
  <c r="I36" i="4"/>
  <c r="J36" i="4"/>
  <c r="K36" i="4"/>
  <c r="B29" i="4"/>
  <c r="B30" i="4"/>
  <c r="B31" i="4"/>
  <c r="B32" i="4"/>
  <c r="B33" i="4"/>
  <c r="B34" i="4"/>
  <c r="B35" i="4"/>
  <c r="B36" i="4"/>
  <c r="C3" i="4"/>
  <c r="C4" i="4"/>
  <c r="C5" i="4"/>
  <c r="C6" i="4"/>
  <c r="C7" i="4"/>
  <c r="C8" i="4"/>
  <c r="C9" i="4"/>
  <c r="C10" i="4"/>
  <c r="C11" i="4"/>
  <c r="C12" i="4"/>
  <c r="C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<sst xmlns="http://schemas.openxmlformats.org/spreadsheetml/2006/main" count="884" uniqueCount="513">
  <si>
    <t>destination</t>
  </si>
  <si>
    <t>departure date</t>
  </si>
  <si>
    <t>goa</t>
  </si>
  <si>
    <t>hill top</t>
  </si>
  <si>
    <t>kerala</t>
  </si>
  <si>
    <t>hill view</t>
  </si>
  <si>
    <t>cell 1</t>
  </si>
  <si>
    <t>cell 2</t>
  </si>
  <si>
    <t>Division result</t>
  </si>
  <si>
    <t>Amount(USD)</t>
  </si>
  <si>
    <t>Amount(GBP)</t>
  </si>
  <si>
    <t>USD/GBP</t>
  </si>
  <si>
    <t xml:space="preserve"> </t>
  </si>
  <si>
    <t>return date</t>
  </si>
  <si>
    <t>flight cost</t>
  </si>
  <si>
    <t>hotel name</t>
  </si>
  <si>
    <t>total budget</t>
  </si>
  <si>
    <t>manali</t>
  </si>
  <si>
    <t>tada</t>
  </si>
  <si>
    <t>delhi</t>
  </si>
  <si>
    <t>kashmir</t>
  </si>
  <si>
    <t>octail</t>
  </si>
  <si>
    <t>holiday inn</t>
  </si>
  <si>
    <t>himalaya ht</t>
  </si>
  <si>
    <t>bangaolreht</t>
  </si>
  <si>
    <t>final amount</t>
  </si>
  <si>
    <t>Name</t>
  </si>
  <si>
    <t>no of applies</t>
  </si>
  <si>
    <t>rogi</t>
  </si>
  <si>
    <t>ashik</t>
  </si>
  <si>
    <t>yuvan</t>
  </si>
  <si>
    <t>siva</t>
  </si>
  <si>
    <t>total</t>
  </si>
  <si>
    <t>year</t>
  </si>
  <si>
    <t>total 3 years</t>
  </si>
  <si>
    <t>revenue</t>
  </si>
  <si>
    <t>expenses</t>
  </si>
  <si>
    <t>income</t>
  </si>
  <si>
    <t xml:space="preserve">  </t>
  </si>
  <si>
    <t xml:space="preserve">       SUM</t>
  </si>
  <si>
    <t>TOTAL</t>
  </si>
  <si>
    <t>MAX   AND    MIN</t>
  </si>
  <si>
    <t>COUNT AND COUNT A</t>
  </si>
  <si>
    <t>COUNT A</t>
  </si>
  <si>
    <t>rohith</t>
  </si>
  <si>
    <t xml:space="preserve">ashik </t>
  </si>
  <si>
    <t>brother</t>
  </si>
  <si>
    <t>sister</t>
  </si>
  <si>
    <t>cricket</t>
  </si>
  <si>
    <t>COUNT</t>
  </si>
  <si>
    <t>sharma</t>
  </si>
  <si>
    <t>susu</t>
  </si>
  <si>
    <t>revenge</t>
  </si>
  <si>
    <r>
      <t xml:space="preserve">example ==names are the </t>
    </r>
    <r>
      <rPr>
        <sz val="11"/>
        <color rgb="FFFF0000"/>
        <rFont val="Calibri"/>
        <family val="2"/>
        <scheme val="minor"/>
      </rPr>
      <t>CATAGORICAL VALUES</t>
    </r>
  </si>
  <si>
    <r>
      <t xml:space="preserve">numbers are the </t>
    </r>
    <r>
      <rPr>
        <sz val="11"/>
        <color rgb="FFFF0000"/>
        <rFont val="Calibri"/>
        <family val="2"/>
        <scheme val="minor"/>
      </rPr>
      <t>COUNT VALUES</t>
    </r>
  </si>
  <si>
    <t xml:space="preserve">AVERAGE </t>
  </si>
  <si>
    <t>age</t>
  </si>
  <si>
    <t>recieves gift</t>
  </si>
  <si>
    <t>tommy</t>
  </si>
  <si>
    <t>jim</t>
  </si>
  <si>
    <t>USER NUMBER</t>
  </si>
  <si>
    <t>full time/part-time</t>
  </si>
  <si>
    <t>part-time</t>
  </si>
  <si>
    <t>GPA</t>
  </si>
  <si>
    <t>answer</t>
  </si>
  <si>
    <t>IF AND NESTED IF</t>
  </si>
  <si>
    <t>SUMIF  ,    COUNTIF</t>
  </si>
  <si>
    <t>Rapper</t>
  </si>
  <si>
    <t>favorite color</t>
  </si>
  <si>
    <t>income(millions)</t>
  </si>
  <si>
    <t>biz khalifa</t>
  </si>
  <si>
    <t>ice cream</t>
  </si>
  <si>
    <t>snoop catt</t>
  </si>
  <si>
    <t>cardi c</t>
  </si>
  <si>
    <t>ray z</t>
  </si>
  <si>
    <t>black</t>
  </si>
  <si>
    <t>yellow</t>
  </si>
  <si>
    <t>pink</t>
  </si>
  <si>
    <t>Sum</t>
  </si>
  <si>
    <t>state</t>
  </si>
  <si>
    <t>employee name income</t>
  </si>
  <si>
    <t>Income</t>
  </si>
  <si>
    <t>minnesota</t>
  </si>
  <si>
    <t>ohio</t>
  </si>
  <si>
    <t>new york</t>
  </si>
  <si>
    <t>texas</t>
  </si>
  <si>
    <t>california</t>
  </si>
  <si>
    <t>jhon</t>
  </si>
  <si>
    <t>jake</t>
  </si>
  <si>
    <t>jill</t>
  </si>
  <si>
    <t>dilip</t>
  </si>
  <si>
    <t>dana</t>
  </si>
  <si>
    <t>kumar</t>
  </si>
  <si>
    <t>jose</t>
  </si>
  <si>
    <t>elise</t>
  </si>
  <si>
    <t>average income</t>
  </si>
  <si>
    <t>YELLOW COLOUR</t>
  </si>
  <si>
    <t>AVERAGE INCOME</t>
  </si>
  <si>
    <t>COLOUR YELLOW</t>
  </si>
  <si>
    <t>rapper</t>
  </si>
  <si>
    <t>fav colour</t>
  </si>
  <si>
    <t>orange</t>
  </si>
  <si>
    <t>count:</t>
  </si>
  <si>
    <t>CALCULATE  THE   TOTAL  REVNEUVE   FROM  "GOLD"  ACCOUNTS  IN  THE  STATE  OF  NY</t>
  </si>
  <si>
    <t>account</t>
  </si>
  <si>
    <t>type</t>
  </si>
  <si>
    <t>gold</t>
  </si>
  <si>
    <t>silver</t>
  </si>
  <si>
    <t>bronze</t>
  </si>
  <si>
    <t>NY</t>
  </si>
  <si>
    <t>PA</t>
  </si>
  <si>
    <t>MA</t>
  </si>
  <si>
    <t>ANS</t>
  </si>
  <si>
    <t>SUMIFS</t>
  </si>
  <si>
    <t>COUNTIFS</t>
  </si>
  <si>
    <t>name</t>
  </si>
  <si>
    <t>boy/girl</t>
  </si>
  <si>
    <t>alex</t>
  </si>
  <si>
    <t>danny</t>
  </si>
  <si>
    <t>gabby</t>
  </si>
  <si>
    <t>kris</t>
  </si>
  <si>
    <t>taylor</t>
  </si>
  <si>
    <t>vic</t>
  </si>
  <si>
    <t>boy</t>
  </si>
  <si>
    <t>girl</t>
  </si>
  <si>
    <t>kash hot</t>
  </si>
  <si>
    <t>moount</t>
  </si>
  <si>
    <r>
      <rPr>
        <b/>
        <sz val="11"/>
        <color theme="1"/>
        <rFont val="Calibri"/>
        <family val="2"/>
        <scheme val="minor"/>
      </rPr>
      <t>destination</t>
    </r>
    <r>
      <rPr>
        <sz val="11"/>
        <color theme="1"/>
        <rFont val="Calibri"/>
        <family val="2"/>
        <scheme val="minor"/>
      </rPr>
      <t xml:space="preserve"> 1</t>
    </r>
  </si>
  <si>
    <r>
      <rPr>
        <b/>
        <sz val="11"/>
        <color theme="1"/>
        <rFont val="Calibri"/>
        <family val="2"/>
        <scheme val="minor"/>
      </rPr>
      <t>destination</t>
    </r>
    <r>
      <rPr>
        <sz val="11"/>
        <color theme="1"/>
        <rFont val="Calibri"/>
        <family val="2"/>
        <scheme val="minor"/>
      </rPr>
      <t xml:space="preserve"> 2</t>
    </r>
  </si>
  <si>
    <r>
      <rPr>
        <b/>
        <sz val="11"/>
        <color theme="1"/>
        <rFont val="Calibri"/>
        <family val="2"/>
        <scheme val="minor"/>
      </rPr>
      <t>destination</t>
    </r>
    <r>
      <rPr>
        <sz val="11"/>
        <color theme="1"/>
        <rFont val="Calibri"/>
        <family val="2"/>
        <scheme val="minor"/>
      </rPr>
      <t xml:space="preserve"> 3</t>
    </r>
  </si>
  <si>
    <t>destination 4</t>
  </si>
  <si>
    <t>destination 5</t>
  </si>
  <si>
    <t xml:space="preserve">          </t>
  </si>
  <si>
    <t>(CONDITIONAL OPERATORS</t>
  </si>
  <si>
    <t>TASK   1</t>
  </si>
  <si>
    <t>TASK   2</t>
  </si>
  <si>
    <t>PRODUCT ID</t>
  </si>
  <si>
    <t>PRODUCT NAME</t>
  </si>
  <si>
    <t>QUANTITY SOLD</t>
  </si>
  <si>
    <t>UNIT PRICE</t>
  </si>
  <si>
    <t>REVENUE</t>
  </si>
  <si>
    <t>POO1</t>
  </si>
  <si>
    <t>POO2</t>
  </si>
  <si>
    <t>POO3</t>
  </si>
  <si>
    <t>POO4</t>
  </si>
  <si>
    <t>POO5</t>
  </si>
  <si>
    <t>POO6</t>
  </si>
  <si>
    <t>POO7</t>
  </si>
  <si>
    <t>POO8</t>
  </si>
  <si>
    <t>POO9</t>
  </si>
  <si>
    <t>POO10</t>
  </si>
  <si>
    <t>LAPTOP</t>
  </si>
  <si>
    <t>MOUSE</t>
  </si>
  <si>
    <t>KEYBOARD</t>
  </si>
  <si>
    <t>MONITOR 24</t>
  </si>
  <si>
    <t>USB CABLE</t>
  </si>
  <si>
    <t>HEADPHONES</t>
  </si>
  <si>
    <t>PRINTER</t>
  </si>
  <si>
    <t>PEN DRIVE 32GB</t>
  </si>
  <si>
    <t>WEBCAM</t>
  </si>
  <si>
    <t>SPEAKERS</t>
  </si>
  <si>
    <t>HIGHEST REVENUE</t>
  </si>
  <si>
    <t>MIN REVENUE</t>
  </si>
  <si>
    <t>AVERAGE REN</t>
  </si>
  <si>
    <t>VERIFY</t>
  </si>
  <si>
    <t>CALCULATE</t>
  </si>
  <si>
    <t>IF  ALL NUMBERS  ARE  GREATER  THAN  30,  RETURN  "GOOD"   OTHERWISE  RETURN  "BAD"</t>
  </si>
  <si>
    <t>AND   OR</t>
  </si>
  <si>
    <t>NUMBER 1</t>
  </si>
  <si>
    <t xml:space="preserve">NUMBER 2 </t>
  </si>
  <si>
    <t>NUMBER  2</t>
  </si>
  <si>
    <t>IF  AT  LEAST   ONE  NUMBER  IS   GREATER  THAN  ,  30  RETURN  "GGOD",  OTHERWISE  RETURN  "BAD"</t>
  </si>
  <si>
    <t>IS BLANK</t>
  </si>
  <si>
    <t>CHECK I THE FOLLOW CELL  IS  BLANK</t>
  </si>
  <si>
    <t>cell</t>
  </si>
  <si>
    <t>is  it  blank</t>
  </si>
  <si>
    <t>bla bla bla</t>
  </si>
  <si>
    <t>CHECK IF THE  FOLLOWING  CELL  IS  BLANK  IF  SO , RETURN "NO DATA", OTHERWISE RETURN  "CELL IS OK";</t>
  </si>
  <si>
    <t>ROHITH</t>
  </si>
  <si>
    <t>FIRST  LAST   MIDDLE</t>
  </si>
  <si>
    <t>EXTRACT THE FIRST 4 CHARACTER</t>
  </si>
  <si>
    <t>lady gaga</t>
  </si>
  <si>
    <r>
      <t>…..</t>
    </r>
    <r>
      <rPr>
        <sz val="11"/>
        <color rgb="FFFF0000"/>
        <rFont val="Calibri"/>
        <family val="2"/>
        <scheme val="minor"/>
      </rPr>
      <t>LEFT  RIGHT</t>
    </r>
  </si>
  <si>
    <t>EXTRACT THE LAST 8 CHARATCTER</t>
  </si>
  <si>
    <t>LED ZEPPELIN</t>
  </si>
  <si>
    <t>HAIGUYSMYNAMEISVIAMGOODBOY</t>
  </si>
  <si>
    <t>CONCATENATE(  COMPLETE THE COLUM   F  AND   G)</t>
  </si>
  <si>
    <t>EMPLOYEE CODE</t>
  </si>
  <si>
    <t>FIRST  NAME</t>
  </si>
  <si>
    <t>LAST NAME</t>
  </si>
  <si>
    <t>FIRST AND LAST NAME</t>
  </si>
  <si>
    <t>A100</t>
  </si>
  <si>
    <t>A102</t>
  </si>
  <si>
    <t>A103</t>
  </si>
  <si>
    <t>ROGI</t>
  </si>
  <si>
    <t>BROSS</t>
  </si>
  <si>
    <t>JOSNIC</t>
  </si>
  <si>
    <t>SON</t>
  </si>
  <si>
    <t>KUMAR</t>
  </si>
  <si>
    <t>DASS</t>
  </si>
  <si>
    <t>TEXT  JOIN (DELIMITER)</t>
  </si>
  <si>
    <t>WORD</t>
  </si>
  <si>
    <t>MARY</t>
  </si>
  <si>
    <t>HAD</t>
  </si>
  <si>
    <t xml:space="preserve">A </t>
  </si>
  <si>
    <t>LITTELE</t>
  </si>
  <si>
    <t>LAMB</t>
  </si>
  <si>
    <t xml:space="preserve">I </t>
  </si>
  <si>
    <t xml:space="preserve">HAVE </t>
  </si>
  <si>
    <t>COMPLETE</t>
  </si>
  <si>
    <t xml:space="preserve">MY </t>
  </si>
  <si>
    <t>GRADUATION</t>
  </si>
  <si>
    <t>CONCAT</t>
  </si>
  <si>
    <t>THERE</t>
  </si>
  <si>
    <t>ENEMY</t>
  </si>
  <si>
    <t>ISAN</t>
  </si>
  <si>
    <t>I AM</t>
  </si>
  <si>
    <t>THE</t>
  </si>
  <si>
    <t>KING OF</t>
  </si>
  <si>
    <t>THE INDIAN</t>
  </si>
  <si>
    <t>OCEAN</t>
  </si>
  <si>
    <t>PRODUCT</t>
  </si>
  <si>
    <t>PROUDCT_NAME</t>
  </si>
  <si>
    <t>CATEGORY</t>
  </si>
  <si>
    <t>PRICE_PER_UNIT</t>
  </si>
  <si>
    <t>QUANTITY_SOLD</t>
  </si>
  <si>
    <t>DISCOUNT_RATE</t>
  </si>
  <si>
    <t>APPLE</t>
  </si>
  <si>
    <t>MANGO</t>
  </si>
  <si>
    <t>BANANA</t>
  </si>
  <si>
    <t>GRAPES</t>
  </si>
  <si>
    <t>ORANGE</t>
  </si>
  <si>
    <t>FRUIT</t>
  </si>
  <si>
    <t>TAX_RATE</t>
  </si>
  <si>
    <t>DATE_LOCATION</t>
  </si>
  <si>
    <t>STORE_LOCATION</t>
  </si>
  <si>
    <t>NEW YORK</t>
  </si>
  <si>
    <t>LOS ANGELES</t>
  </si>
  <si>
    <t>CHICAGO</t>
  </si>
  <si>
    <t>HOUSTON</t>
  </si>
  <si>
    <t>1 TOTAL_PRICE (PRICE  PER  UNIT *QUANTITY SOLD)</t>
  </si>
  <si>
    <t>2. DISCOUNT AMOUNT (TATAL PRICE *DISCOUNT RATE</t>
  </si>
  <si>
    <t>3. PRICE AFTER DISCOUNT (TOTAL PRICE  -  DISCOUNT AMT)</t>
  </si>
  <si>
    <t>4. TAX  AMOUNT  (PRICEAFTER DISCOUNT  * TAX RATE)</t>
  </si>
  <si>
    <t>5. FINAL PRICE (PRICE AFTER DISCOUNT + TAX AMOUNT)</t>
  </si>
  <si>
    <t>6.  TOTAL QUANTITY SOLD FOR A SPECIFIC STORE(SUM OF QUANTITY SOLD WHERE STORE LOCATION = "STORE NAME")</t>
  </si>
  <si>
    <t>7. tax amount (using fixed tax rate after discount * fixed tax rate)</t>
  </si>
  <si>
    <t>a</t>
  </si>
  <si>
    <t>Employee ID</t>
  </si>
  <si>
    <t>Employee Name</t>
  </si>
  <si>
    <t>Phone Number</t>
  </si>
  <si>
    <t>Email</t>
  </si>
  <si>
    <t>Department</t>
  </si>
  <si>
    <t>Joining Date</t>
  </si>
  <si>
    <t>Status</t>
  </si>
  <si>
    <t>emp001</t>
  </si>
  <si>
    <t>Rahul Sharma</t>
  </si>
  <si>
    <t>rahul.sharma@company.com</t>
  </si>
  <si>
    <t>Sales</t>
  </si>
  <si>
    <t>Active</t>
  </si>
  <si>
    <t>EMP-002</t>
  </si>
  <si>
    <t>Anita Singh</t>
  </si>
  <si>
    <t>anita.singhcompany.com</t>
  </si>
  <si>
    <t>HR</t>
  </si>
  <si>
    <t>EMP003</t>
  </si>
  <si>
    <t>David Mathews</t>
  </si>
  <si>
    <t>IT</t>
  </si>
  <si>
    <t>Emp004</t>
  </si>
  <si>
    <t>Sunil Kumar</t>
  </si>
  <si>
    <t>sunil.kumar@company.com</t>
  </si>
  <si>
    <t>Finance</t>
  </si>
  <si>
    <t>Inactive</t>
  </si>
  <si>
    <t>EMP 005</t>
  </si>
  <si>
    <t>Priya R</t>
  </si>
  <si>
    <t>priya.r@company.com</t>
  </si>
  <si>
    <t>Marketing</t>
  </si>
  <si>
    <t>EMP006</t>
  </si>
  <si>
    <t>Aman Verma</t>
  </si>
  <si>
    <t>aman.verma@company.com</t>
  </si>
  <si>
    <t>emp007</t>
  </si>
  <si>
    <t>Maria Lopez</t>
  </si>
  <si>
    <t>EMP008</t>
  </si>
  <si>
    <t>John Paul</t>
  </si>
  <si>
    <t>john.paul@company</t>
  </si>
  <si>
    <t>emp009</t>
  </si>
  <si>
    <t>Khushi Jain</t>
  </si>
  <si>
    <t>khushi.jain@company.com</t>
  </si>
  <si>
    <t>EMP010</t>
  </si>
  <si>
    <t>Rohan M</t>
  </si>
  <si>
    <t>rohan.m@company.com</t>
  </si>
  <si>
    <t>v</t>
  </si>
  <si>
    <t>valid EMP</t>
  </si>
  <si>
    <t>first name</t>
  </si>
  <si>
    <t>last name</t>
  </si>
  <si>
    <t>valid phone no</t>
  </si>
  <si>
    <t>email missing</t>
  </si>
  <si>
    <t>invalid email</t>
  </si>
  <si>
    <t>namE</t>
  </si>
  <si>
    <t>SUMARY</t>
  </si>
  <si>
    <t>TASK</t>
  </si>
  <si>
    <t xml:space="preserve">	</t>
  </si>
  <si>
    <t>LOOK UP FUNCTION</t>
  </si>
  <si>
    <t>VLOOKUP</t>
  </si>
  <si>
    <t>SALESPERSON</t>
  </si>
  <si>
    <t>ID NUMBER</t>
  </si>
  <si>
    <t>DATE</t>
  </si>
  <si>
    <t>SALWS AMOUNT</t>
  </si>
  <si>
    <t>COMMISION</t>
  </si>
  <si>
    <t>ASHIK</t>
  </si>
  <si>
    <t>ROSHAN</t>
  </si>
  <si>
    <t>SANDEEP</t>
  </si>
  <si>
    <t>$1,087</t>
  </si>
  <si>
    <t>$2,087</t>
  </si>
  <si>
    <t>$3,087</t>
  </si>
  <si>
    <t>$4,087</t>
  </si>
  <si>
    <t>SALES PERSON</t>
  </si>
  <si>
    <t>HLOOKUP</t>
  </si>
  <si>
    <t>SAL AMOUNT</t>
  </si>
  <si>
    <t>XLOOLUP</t>
  </si>
  <si>
    <t>$3,4500</t>
  </si>
  <si>
    <t>$4,500</t>
  </si>
  <si>
    <t>$5,600</t>
  </si>
  <si>
    <t>$6,700</t>
  </si>
  <si>
    <t>$1,200</t>
  </si>
  <si>
    <t>$2,191</t>
  </si>
  <si>
    <t>$3,200</t>
  </si>
  <si>
    <t>$4,200</t>
  </si>
  <si>
    <t>COMMISON</t>
  </si>
  <si>
    <t>lavada</t>
  </si>
  <si>
    <t>TYPE   1</t>
  </si>
  <si>
    <t>TYPE   2</t>
  </si>
  <si>
    <t>SALE AMOUNT</t>
  </si>
  <si>
    <t>COMPANY</t>
  </si>
  <si>
    <t>COCO COLA INC</t>
  </si>
  <si>
    <t>$5,678</t>
  </si>
  <si>
    <t>$1,234</t>
  </si>
  <si>
    <t>NIKE INC</t>
  </si>
  <si>
    <t>AMAZON UK</t>
  </si>
  <si>
    <t>XYZ LIMITED</t>
  </si>
  <si>
    <t>PEPSI CO</t>
  </si>
  <si>
    <t>$4,567</t>
  </si>
  <si>
    <t>$7,123</t>
  </si>
  <si>
    <t>$4,890</t>
  </si>
  <si>
    <t>$5,358</t>
  </si>
  <si>
    <t>$1,236</t>
  </si>
  <si>
    <t>$4,678</t>
  </si>
  <si>
    <t>$9,342</t>
  </si>
  <si>
    <t>$1,098</t>
  </si>
  <si>
    <t>TYPE  3</t>
  </si>
  <si>
    <t xml:space="preserve">NAME </t>
  </si>
  <si>
    <t>JHON KENNADI</t>
  </si>
  <si>
    <t>XAVIER</t>
  </si>
  <si>
    <t>GOVINDHA</t>
  </si>
  <si>
    <t>KANNAA</t>
  </si>
  <si>
    <t>$7,569</t>
  </si>
  <si>
    <t>YEAR</t>
  </si>
  <si>
    <t>TYPE  4</t>
  </si>
  <si>
    <t>AVAILABLE STOCK</t>
  </si>
  <si>
    <t>PRICE</t>
  </si>
  <si>
    <t>TASK  1</t>
  </si>
  <si>
    <t>TASK  2</t>
  </si>
  <si>
    <t>QUANTITY</t>
  </si>
  <si>
    <t>TASK  3</t>
  </si>
  <si>
    <t>employee id</t>
  </si>
  <si>
    <t>pay</t>
  </si>
  <si>
    <t>x</t>
  </si>
  <si>
    <t>whatspp</t>
  </si>
  <si>
    <t>instagaram</t>
  </si>
  <si>
    <t>caterpiller</t>
  </si>
  <si>
    <t>zhogo</t>
  </si>
  <si>
    <t>snapchat</t>
  </si>
  <si>
    <t>use INDEX formula to return name 4th company in list</t>
  </si>
  <si>
    <t>use MATCH return the position number of letter F folloeing</t>
  </si>
  <si>
    <t>using INDEX AND MATCH FIND THE ID NUMBER OF DAVID</t>
  </si>
  <si>
    <t>NAME</t>
  </si>
  <si>
    <t xml:space="preserve">ROHITH </t>
  </si>
  <si>
    <t>SHAWDO</t>
  </si>
  <si>
    <t>LUDO</t>
  </si>
  <si>
    <t>DOSHU</t>
  </si>
  <si>
    <t>ARUN</t>
  </si>
  <si>
    <t>NARUTO</t>
  </si>
  <si>
    <t>SORT the following contants by  rank,lover to higher</t>
  </si>
  <si>
    <t>RANK</t>
  </si>
  <si>
    <t>RISHI</t>
  </si>
  <si>
    <t>DAVID</t>
  </si>
  <si>
    <t>SRINI</t>
  </si>
  <si>
    <t>JOBI</t>
  </si>
  <si>
    <t>SORTBY to sort the nmae of points in descending order</t>
  </si>
  <si>
    <t>ROUND 1</t>
  </si>
  <si>
    <t>ROUND 2</t>
  </si>
  <si>
    <t>R2</t>
  </si>
  <si>
    <t>PO RANK 1</t>
  </si>
  <si>
    <r>
      <rPr>
        <sz val="11"/>
        <color theme="3" tint="0.499984740745262"/>
        <rFont val="Calibri"/>
        <family val="2"/>
        <scheme val="minor"/>
      </rPr>
      <t>T</t>
    </r>
    <r>
      <rPr>
        <b/>
        <sz val="11"/>
        <color theme="3" tint="0.499984740745262"/>
        <rFont val="Calibri"/>
        <family val="2"/>
        <scheme val="minor"/>
      </rPr>
      <t>OTAL</t>
    </r>
    <r>
      <rPr>
        <b/>
        <sz val="11"/>
        <color theme="1"/>
        <rFont val="Calibri"/>
        <family val="2"/>
        <scheme val="minor"/>
      </rPr>
      <t xml:space="preserve"> </t>
    </r>
    <r>
      <rPr>
        <b/>
        <sz val="11"/>
        <color theme="3" tint="0.499984740745262"/>
        <rFont val="Calibri"/>
        <family val="2"/>
        <scheme val="minor"/>
      </rPr>
      <t>POINTS</t>
    </r>
  </si>
  <si>
    <t>TOTAL POINTS</t>
  </si>
  <si>
    <t>d</t>
  </si>
  <si>
    <t>SORT the following range by the following critiria simultaneously</t>
  </si>
  <si>
    <t>GROUP</t>
  </si>
  <si>
    <t>COUNTRY</t>
  </si>
  <si>
    <t>SCORE</t>
  </si>
  <si>
    <t>A</t>
  </si>
  <si>
    <t>D</t>
  </si>
  <si>
    <t>B</t>
  </si>
  <si>
    <t>C</t>
  </si>
  <si>
    <t>USA</t>
  </si>
  <si>
    <t>CANADA</t>
  </si>
  <si>
    <t>ISRALE</t>
  </si>
  <si>
    <t>UK</t>
  </si>
  <si>
    <t>BRAZIL</t>
  </si>
  <si>
    <t>NIGERIA</t>
  </si>
  <si>
    <t>JHON</t>
  </si>
  <si>
    <t>ROBERT</t>
  </si>
  <si>
    <t>ALIES</t>
  </si>
  <si>
    <t>ELSA</t>
  </si>
  <si>
    <t>RAJESH</t>
  </si>
  <si>
    <t>SELVA</t>
  </si>
  <si>
    <t>SIVA</t>
  </si>
  <si>
    <t>ROHAN</t>
  </si>
  <si>
    <t>COUTRY</t>
  </si>
  <si>
    <t>use  FILTER to extract only the compamies from the tech indusstries and their market  cap</t>
  </si>
  <si>
    <t>INDUSRIEA</t>
  </si>
  <si>
    <t>MARKT CAP</t>
  </si>
  <si>
    <t>GOOGLE</t>
  </si>
  <si>
    <t>WALMART</t>
  </si>
  <si>
    <t>DELL</t>
  </si>
  <si>
    <t>COSTRCO</t>
  </si>
  <si>
    <t>MACEY</t>
  </si>
  <si>
    <t>MICRSOFT</t>
  </si>
  <si>
    <t>TECH</t>
  </si>
  <si>
    <t>RETAIL</t>
  </si>
  <si>
    <t>INDUSTRTY</t>
  </si>
  <si>
    <t>MARKET CAP</t>
  </si>
  <si>
    <t>UNIQUE</t>
  </si>
  <si>
    <t>NUMBERS</t>
  </si>
  <si>
    <t>SEQUNCE</t>
  </si>
  <si>
    <t>RANDARREY</t>
  </si>
  <si>
    <t>CREATE AN ARREY OF RANDOM NUMBERS IN THE SIZE 5*5</t>
  </si>
  <si>
    <t>THE  NUMBERS SHOULD BR INTERGRES AND BETWEEN 1 TO 20</t>
  </si>
  <si>
    <t>START THE ARRYE FROM CELL A6</t>
  </si>
  <si>
    <t>THE DECIMAL NUM SHOULD RANGE BET 10.7 TO 24.3</t>
  </si>
  <si>
    <t>FILL RANGE A15:A72(8 ROW) WITH RANDOM DECIMAL NUMBERS</t>
  </si>
  <si>
    <t>EMP  ID</t>
  </si>
  <si>
    <t>EMPLOYEE NAME</t>
  </si>
  <si>
    <t>DEPT NAME</t>
  </si>
  <si>
    <t>SALARY</t>
  </si>
  <si>
    <t>LOCATION</t>
  </si>
  <si>
    <t>JOIN YEAR</t>
  </si>
  <si>
    <t>E001</t>
  </si>
  <si>
    <t>E002</t>
  </si>
  <si>
    <t>E003</t>
  </si>
  <si>
    <t>E004</t>
  </si>
  <si>
    <t>E005</t>
  </si>
  <si>
    <t>E006</t>
  </si>
  <si>
    <t>E007</t>
  </si>
  <si>
    <t>E008</t>
  </si>
  <si>
    <t>E009</t>
  </si>
  <si>
    <t>E010</t>
  </si>
  <si>
    <t>RAHUL</t>
  </si>
  <si>
    <t>PIRATES</t>
  </si>
  <si>
    <t>ASHWIN</t>
  </si>
  <si>
    <t>ROGAN</t>
  </si>
  <si>
    <t>YUVAN</t>
  </si>
  <si>
    <t>SHANKAR</t>
  </si>
  <si>
    <t>SALES</t>
  </si>
  <si>
    <t>FINANCE</t>
  </si>
  <si>
    <t>MARKETING</t>
  </si>
  <si>
    <t>DELHI</t>
  </si>
  <si>
    <t>MUMBAI</t>
  </si>
  <si>
    <t>BANGLORE</t>
  </si>
  <si>
    <t>PUNE</t>
  </si>
  <si>
    <t>CHENNAI</t>
  </si>
  <si>
    <t>HYDRABAD</t>
  </si>
  <si>
    <t>JHON PAUL</t>
  </si>
  <si>
    <t>Sum of ammount</t>
  </si>
  <si>
    <t>Count of order id</t>
  </si>
  <si>
    <t>Grand Total</t>
  </si>
  <si>
    <t>December</t>
  </si>
  <si>
    <t>Row Labels</t>
  </si>
  <si>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</si>
  <si>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</si>
  <si>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</si>
  <si>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</si>
  <si>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</si>
  <si>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</si>
  <si>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</si>
  <si>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</si>
  <si>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</si>
  <si>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</si>
  <si>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</si>
  <si>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</si>
  <si>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</si>
  <si>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</si>
  <si>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</si>
  <si>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</si>
  <si>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</si>
  <si>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</si>
  <si>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</si>
  <si>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</si>
  <si>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</si>
  <si>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</si>
  <si>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</si>
  <si>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</si>
  <si>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</si>
  <si>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</si>
  <si>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</si>
  <si>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</si>
  <si>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</si>
  <si>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profit</t>
  </si>
  <si>
    <t>grand total</t>
  </si>
  <si>
    <t>unit sold</t>
  </si>
  <si>
    <t>total profit</t>
  </si>
  <si>
    <t>avaerage sales</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</si>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</sst>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43" formatCode="_ * #,##0.00_ ;_ * \-#,##0.00_ ;_ * &quot;-&quot;??_ ;_ @_ "/>
    <numFmt numFmtId="164" formatCode="&quot;₹&quot;\ #,##0.00"/>
    <numFmt numFmtId="165" formatCode="[$-F800]dddd\,\ mmmm\ dd\,\ yyyy"/>
    <numFmt numFmtId="166" formatCode="_-[$$-409]* #,##0.00_ ;_-[$$-409]* \-#,##0.00\ ;_-[$$-409]* &quot;-&quot;??_ ;_-@_ "/>
  </numFmts>
  <fonts count="15"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1"/>
      <color theme="3"/>
      <name val="Calibri"/>
      <family val="2"/>
      <scheme val="minor"/>
    </font>
    <font>
      <b/>
      <sz val="11"/>
      <color theme="6" tint="0.39997558519241921"/>
      <name val="Calibri"/>
      <family val="2"/>
      <scheme val="minor"/>
    </font>
    <font>
      <sz val="8"/>
      <name val="Calibri"/>
      <family val="2"/>
      <scheme val="minor"/>
    </font>
    <font>
      <sz val="11"/>
      <color theme="1"/>
      <name val="Calibri"/>
      <family val="2"/>
      <scheme val="minor"/>
    </font>
    <font>
      <sz val="11"/>
      <color rgb="FF000000"/>
      <name val="Calibri"/>
      <family val="2"/>
      <scheme val="minor"/>
    </font>
    <font>
      <sz val="11"/>
      <color theme="3" tint="0.499984740745262"/>
      <name val="Calibri"/>
      <family val="2"/>
      <scheme val="minor"/>
    </font>
    <font>
      <b/>
      <sz val="11"/>
      <color theme="3" tint="0.499984740745262"/>
      <name val="Calibri"/>
      <family val="2"/>
      <scheme val="minor"/>
    </font>
    <font>
      <sz val="11"/>
      <color theme="4" tint="0.39997558519241921"/>
      <name val="Calibri"/>
      <family val="2"/>
      <scheme val="minor"/>
    </font>
    <font>
      <sz val="11"/>
      <color theme="5"/>
      <name val="Calibri"/>
      <family val="2"/>
      <scheme val="minor"/>
    </font>
    <font>
      <b/>
      <sz val="11"/>
      <color rgb="FFFF0000"/>
      <name val="Calibri"/>
      <family val="2"/>
      <scheme val="minor"/>
    </font>
    <font>
      <sz val="11"/>
      <color theme="1"/>
      <name val="Arial Black"/>
      <family val="2"/>
    </font>
  </fonts>
  <fills count="3">
    <fill>
      <patternFill patternType="none"/>
    </fill>
    <fill>
      <patternFill patternType="gray125"/>
    </fill>
    <fill>
      <patternFill patternType="solid">
        <fgColor theme="0"/>
        <bgColor indexed="64"/>
      </patternFill>
    </fill>
  </fills>
  <borders count="24">
    <border>
      <left/>
      <right/>
      <top/>
      <bottom/>
      <diagonal/>
    </border>
    <border>
      <left/>
      <right style="thin">
        <color theme="1"/>
      </right>
      <top style="thin">
        <color theme="1"/>
      </top>
      <bottom/>
      <diagonal/>
    </border>
    <border>
      <left/>
      <right style="thin">
        <color theme="1"/>
      </right>
      <top style="thin">
        <color theme="1"/>
      </top>
      <bottom style="thin">
        <color theme="1"/>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1"/>
      </left>
      <right style="thin">
        <color indexed="64"/>
      </right>
      <top style="thin">
        <color theme="1"/>
      </top>
      <bottom/>
      <diagonal/>
    </border>
    <border>
      <left style="thin">
        <color indexed="64"/>
      </left>
      <right style="thin">
        <color indexed="64"/>
      </right>
      <top style="thin">
        <color theme="1"/>
      </top>
      <bottom/>
      <diagonal/>
    </border>
    <border>
      <left style="thin">
        <color theme="1"/>
      </left>
      <right style="thin">
        <color indexed="64"/>
      </right>
      <top/>
      <bottom style="thin">
        <color theme="1"/>
      </bottom>
      <diagonal/>
    </border>
    <border>
      <left style="thin">
        <color indexed="64"/>
      </left>
      <right style="thin">
        <color indexed="64"/>
      </right>
      <top/>
      <bottom style="thin">
        <color theme="1"/>
      </bottom>
      <diagonal/>
    </border>
    <border>
      <left/>
      <right style="thin">
        <color theme="1"/>
      </right>
      <top/>
      <bottom style="thin">
        <color theme="1"/>
      </bottom>
      <diagonal/>
    </border>
    <border>
      <left style="thin">
        <color theme="1"/>
      </left>
      <right style="thin">
        <color indexed="64"/>
      </right>
      <top style="thin">
        <color theme="1"/>
      </top>
      <bottom style="thin">
        <color theme="1"/>
      </bottom>
      <diagonal/>
    </border>
    <border>
      <left style="thin">
        <color indexed="64"/>
      </left>
      <right style="thin">
        <color indexed="64"/>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3">
    <xf numFmtId="0" fontId="0" fillId="0" borderId="0"/>
    <xf numFmtId="44" fontId="7" fillId="0" borderId="0" applyFont="0" applyFill="0" applyBorder="0" applyAlignment="0" applyProtection="0"/>
    <xf numFmtId="43" fontId="7" fillId="0" borderId="0" applyFont="0" applyFill="0" applyBorder="0" applyAlignment="0" applyProtection="0"/>
  </cellStyleXfs>
  <cellXfs count="71">
    <xf numFmtId="0" fontId="0" fillId="0" borderId="0" xfId="0"/>
    <xf numFmtId="0" fontId="2" fillId="0" borderId="0" xfId="0" applyFont="1"/>
    <xf numFmtId="14" fontId="0" fillId="0" borderId="0" xfId="0" applyNumberFormat="1"/>
    <xf numFmtId="164" fontId="0" fillId="0" borderId="0" xfId="0" applyNumberFormat="1"/>
    <xf numFmtId="0" fontId="1" fillId="0" borderId="0" xfId="0" applyFont="1"/>
    <xf numFmtId="0" fontId="0" fillId="0" borderId="0" xfId="0" applyAlignment="1">
      <alignment wrapText="1"/>
    </xf>
    <xf numFmtId="0" fontId="0" fillId="0" borderId="0" xfId="0" applyAlignment="1">
      <alignment horizontal="center"/>
    </xf>
    <xf numFmtId="0" fontId="0" fillId="0" borderId="0" xfId="0" applyAlignment="1">
      <alignment horizontal="center" wrapText="1"/>
    </xf>
    <xf numFmtId="0" fontId="4" fillId="0" borderId="0" xfId="0" applyFont="1"/>
    <xf numFmtId="0" fontId="5" fillId="0" borderId="0" xfId="0" applyFont="1"/>
    <xf numFmtId="164" fontId="0" fillId="0" borderId="3" xfId="0" applyNumberFormat="1" applyBorder="1"/>
    <xf numFmtId="164" fontId="0" fillId="0" borderId="4" xfId="0" applyNumberFormat="1" applyBorder="1"/>
    <xf numFmtId="0" fontId="0" fillId="0" borderId="5" xfId="0" applyBorder="1"/>
    <xf numFmtId="0" fontId="0" fillId="0" borderId="6" xfId="0" applyBorder="1"/>
    <xf numFmtId="14" fontId="0" fillId="0" borderId="5" xfId="0" applyNumberFormat="1" applyBorder="1"/>
    <xf numFmtId="14" fontId="0" fillId="0" borderId="6" xfId="0" applyNumberFormat="1" applyBorder="1"/>
    <xf numFmtId="165" fontId="0" fillId="0" borderId="6" xfId="0" applyNumberFormat="1" applyBorder="1"/>
    <xf numFmtId="164" fontId="0" fillId="0" borderId="5" xfId="0" applyNumberFormat="1" applyBorder="1"/>
    <xf numFmtId="164" fontId="0" fillId="0" borderId="6" xfId="0" applyNumberFormat="1" applyBorder="1"/>
    <xf numFmtId="0" fontId="0" fillId="0" borderId="7" xfId="0" applyBorder="1"/>
    <xf numFmtId="0" fontId="0" fillId="0" borderId="8" xfId="0" applyBorder="1"/>
    <xf numFmtId="0" fontId="2" fillId="0" borderId="8" xfId="0" applyFont="1" applyBorder="1"/>
    <xf numFmtId="0" fontId="2" fillId="0" borderId="1" xfId="0" applyFont="1" applyBorder="1"/>
    <xf numFmtId="0" fontId="0" fillId="0" borderId="9" xfId="0" applyBorder="1"/>
    <xf numFmtId="15" fontId="0" fillId="0" borderId="10" xfId="0" applyNumberFormat="1" applyBorder="1"/>
    <xf numFmtId="164" fontId="0" fillId="0" borderId="10" xfId="0" applyNumberFormat="1" applyBorder="1"/>
    <xf numFmtId="0" fontId="0" fillId="0" borderId="10" xfId="0" applyBorder="1"/>
    <xf numFmtId="164" fontId="0" fillId="0" borderId="11" xfId="0" applyNumberFormat="1" applyBorder="1"/>
    <xf numFmtId="0" fontId="2" fillId="0" borderId="12" xfId="0" applyFont="1" applyBorder="1"/>
    <xf numFmtId="14" fontId="0" fillId="0" borderId="13" xfId="0" applyNumberFormat="1" applyBorder="1"/>
    <xf numFmtId="164" fontId="0" fillId="0" borderId="13" xfId="0" applyNumberFormat="1" applyBorder="1"/>
    <xf numFmtId="0" fontId="0" fillId="0" borderId="13" xfId="0" applyBorder="1"/>
    <xf numFmtId="164" fontId="0" fillId="0" borderId="2" xfId="0" applyNumberFormat="1" applyBorder="1"/>
    <xf numFmtId="164" fontId="0" fillId="0" borderId="0" xfId="1" applyNumberFormat="1" applyFont="1"/>
    <xf numFmtId="164" fontId="2" fillId="0" borderId="0" xfId="0" applyNumberFormat="1" applyFont="1"/>
    <xf numFmtId="164" fontId="3" fillId="0" borderId="0" xfId="0" applyNumberFormat="1" applyFont="1"/>
    <xf numFmtId="164" fontId="1" fillId="0" borderId="0" xfId="0" applyNumberFormat="1" applyFont="1"/>
    <xf numFmtId="0" fontId="0" fillId="0" borderId="14" xfId="0" applyBorder="1"/>
    <xf numFmtId="0" fontId="2" fillId="0" borderId="14" xfId="0" applyFont="1" applyBorder="1"/>
    <xf numFmtId="0" fontId="0" fillId="0" borderId="0" xfId="0" applyAlignment="1">
      <alignment vertical="center"/>
    </xf>
    <xf numFmtId="14" fontId="0" fillId="0" borderId="0" xfId="0" applyNumberFormat="1" applyAlignment="1">
      <alignment vertical="center"/>
    </xf>
    <xf numFmtId="0" fontId="8" fillId="0" borderId="0" xfId="0" applyFont="1"/>
    <xf numFmtId="166" fontId="0" fillId="0" borderId="0" xfId="0" applyNumberFormat="1"/>
    <xf numFmtId="3" fontId="0" fillId="0" borderId="0" xfId="0" applyNumberFormat="1"/>
    <xf numFmtId="0" fontId="10" fillId="2" borderId="14" xfId="0" applyFont="1" applyFill="1" applyBorder="1"/>
    <xf numFmtId="0" fontId="10" fillId="0" borderId="14" xfId="0" applyFont="1" applyBorder="1"/>
    <xf numFmtId="0" fontId="11" fillId="0" borderId="14" xfId="0" applyFont="1" applyBorder="1"/>
    <xf numFmtId="0" fontId="12" fillId="0" borderId="14" xfId="0" applyFont="1" applyBorder="1"/>
    <xf numFmtId="0" fontId="13" fillId="0" borderId="0" xfId="0" applyFont="1"/>
    <xf numFmtId="0" fontId="2"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0" xfId="0" pivotButton="1"/>
    <xf numFmtId="0" fontId="0" fillId="0" borderId="0" xfId="0" applyAlignment="1">
      <alignment horizontal="left"/>
    </xf>
    <xf numFmtId="44" fontId="0" fillId="0" borderId="0" xfId="1" applyFont="1"/>
    <xf numFmtId="44" fontId="2" fillId="0" borderId="0" xfId="0" applyNumberFormat="1" applyFont="1" applyAlignment="1">
      <alignment horizontal="center" vertical="center" wrapText="1"/>
    </xf>
    <xf numFmtId="44" fontId="0" fillId="0" borderId="0" xfId="0" applyNumberFormat="1" applyAlignment="1">
      <alignment vertical="center" wrapText="1"/>
    </xf>
    <xf numFmtId="44" fontId="0" fillId="0" borderId="0" xfId="0" applyNumberFormat="1"/>
    <xf numFmtId="43" fontId="0" fillId="0" borderId="0" xfId="2" applyFont="1"/>
    <xf numFmtId="0" fontId="14" fillId="0" borderId="0" xfId="0" applyFont="1"/>
    <xf numFmtId="0" fontId="0" fillId="0" borderId="0" xfId="0" applyAlignment="1">
      <alignment horizontal="center" vertical="center"/>
    </xf>
    <xf numFmtId="0" fontId="0" fillId="0" borderId="0" xfId="0" applyAlignment="1">
      <alignment horizontal="center"/>
    </xf>
  </cellXfs>
  <cellStyles count="3">
    <cellStyle name="Comma" xfId="2" builtinId="3"/>
    <cellStyle name="Currency" xfId="1" builtinId="4"/>
    <cellStyle name="Normal" xfId="0" builtinId="0"/>
  </cellStyles>
  <dxfs count="11">
    <dxf>
      <numFmt numFmtId="34" formatCode="_ &quot;₹&quot;\ * #,##0.00_ ;_ &quot;₹&quot;\ * \-#,##0.00_ ;_ &quot;₹&quot;\ * &quot;-&quot;??_ ;_ @_ "/>
      <alignment horizontal="general" vertical="center" textRotation="0" wrapText="1" indent="0" justifyLastLine="0" shrinkToFit="0" readingOrder="0"/>
    </dxf>
    <dxf>
      <numFmt numFmtId="34" formatCode="_ &quot;₹&quot;\ * #,##0.00_ ;_ &quot;₹&quot;\ * \-#,##0.00_ ;_ &quot;₹&quot;\ * &quot;-&quot;??_ ;_ @_ "/>
      <alignment horizontal="general" vertical="center" textRotation="0" wrapText="1" indent="0" justifyLastLine="0" shrinkToFit="0" readingOrder="0"/>
    </dxf>
    <dxf>
      <numFmt numFmtId="34" formatCode="_ &quot;₹&quot;\ * #,##0.00_ ;_ &quot;₹&quot;\ * \-#,##0.00_ ;_ &quot;₹&quot;\ * &quot;-&quot;??_ ;_ @_ "/>
      <alignment horizontal="general" vertical="center" textRotation="0" wrapText="1" indent="0" justifyLastLine="0" shrinkToFit="0" readingOrder="0"/>
    </dxf>
    <dxf>
      <numFmt numFmtId="34" formatCode="_ &quot;₹&quot;\ * #,##0.00_ ;_ &quot;₹&quot;\ * \-#,##0.00_ ;_ &quot;₹&quot;\ * &quot;-&quot;??_ ;_ @_ "/>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34" formatCode="_ &quot;₹&quot;\ * #,##0.00_ ;_ &quot;₹&quot;\ * \-#,##0.00_ ;_ &quot;₹&quot;\ * &quot;-&quot;??_ ;_ @_ "/>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[Sales_Dashboard_2026.xlsx]Sheet13!PivotTable4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534195727"/>
        <c:axId val="1534194767"/>
      </c:barChart>
      <c:catAx>
        <c:axId val="153419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194767"/>
        <c:crosses val="autoZero"/>
        <c:auto val="1"/>
        <c:lblAlgn val="ctr"/>
        <c:lblOffset val="100"/>
        <c:noMultiLvlLbl val="0"/>
      </c:catAx>
      <c:valAx>
        <c:axId val="153419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19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[Sales_Dashboard_2026.xlsx]Sheet15!PivotTable6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Sheet15!$B$5</c:f>
              <c:strCache>
                <c:ptCount val="1"/>
                <c:pt idx="0">
                  <c:v>Sum of ammount</c:v>
                </c:pt>
              </c:strCache>
            </c:strRef>
          </c:tx>
          <c:spPr>
            <a:solidFill>
              <a:schemeClr val="accent1"/>
            </a:solidFill>
            <a:ln>
              <a:noFill/>
            </a:ln>
            <a:effectLst/>
          </c:spPr>
          <c:invertIfNegative val="0"/>
          <c:cat>
            <c:strRef>
              <c:f>Sheet15!$A$6:$A$7</c:f>
              <c:strCache>
                <c:ptCount val="1"/>
                <c:pt idx="0">
                  <c:v>December</c:v>
                </c:pt>
              </c:strCache>
            </c:strRef>
          </c:cat>
          <c:val>
            <c:numRef>
              <c:f>Sheet15!$B$6:$B$7</c:f>
              <c:numCache>
                <c:formatCode>General</c:formatCode>
                <c:ptCount val="1"/>
                <c:pt idx="0">
                  <c:v>24663</c:v>
                </c:pt>
              </c:numCache>
            </c:numRef>
          </c:val>
          <c:extLst>
            <c:ext xmlns:c16="http://schemas.microsoft.com/office/drawing/2014/chart" uri="{C3380CC4-5D6E-409C-BE32-E72D297353CC}">
              <c16:uniqueId val="{00000004-7CAA-400B-857B-27E4EAE9288A}"/>
            </c:ext>
          </c:extLst>
        </c:ser>
        <c:ser>
          <c:idx val="1"/>
          <c:order val="1"/>
          <c:tx>
            <c:strRef>
              <c:f>Sheet15!$C$5</c:f>
              <c:strCache>
                <c:ptCount val="1"/>
                <c:pt idx="0">
                  <c:v>Count of order id</c:v>
                </c:pt>
              </c:strCache>
            </c:strRef>
          </c:tx>
          <c:spPr>
            <a:solidFill>
              <a:schemeClr val="accent2"/>
            </a:solidFill>
            <a:ln>
              <a:noFill/>
            </a:ln>
            <a:effectLst/>
          </c:spPr>
          <c:invertIfNegative val="0"/>
          <c:cat>
            <c:strRef>
              <c:f>Sheet15!$A$6:$A$7</c:f>
              <c:strCache>
                <c:ptCount val="1"/>
                <c:pt idx="0">
                  <c:v>December</c:v>
                </c:pt>
              </c:strCache>
            </c:strRef>
          </c:cat>
          <c:val>
            <c:numRef>
              <c:f>Sheet15!$C$6:$C$7</c:f>
              <c:numCache>
                <c:formatCode>General</c:formatCode>
                <c:ptCount val="1"/>
                <c:pt idx="0">
                  <c:v>50</c:v>
                </c:pt>
              </c:numCache>
            </c:numRef>
          </c:val>
          <c:extLst>
            <c:ext xmlns:c16="http://schemas.microsoft.com/office/drawing/2014/chart" uri="{C3380CC4-5D6E-409C-BE32-E72D297353CC}">
              <c16:uniqueId val="{00000005-7CAA-400B-857B-27E4EAE9288A}"/>
            </c:ext>
          </c:extLst>
        </c:ser>
        <c:dLbls>
          <c:showLegendKey val="0"/>
          <c:showVal val="0"/>
          <c:showCatName val="0"/>
          <c:showSerName val="0"/>
          <c:showPercent val="0"/>
          <c:showBubbleSize val="0"/>
        </c:dLbls>
        <c:gapWidth val="219"/>
        <c:overlap val="-27"/>
        <c:axId val="1979767439"/>
        <c:axId val="1979767919"/>
      </c:barChart>
      <c:catAx>
        <c:axId val="197976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767919"/>
        <c:crosses val="autoZero"/>
        <c:auto val="1"/>
        <c:lblAlgn val="ctr"/>
        <c:lblOffset val="100"/>
        <c:noMultiLvlLbl val="0"/>
      </c:catAx>
      <c:valAx>
        <c:axId val="197976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76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[Sales_Dashboard_2026.xlsx]PIVOT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2235719232465055"/>
              <c:y val="8.05926001136283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1276054978938392"/>
              <c:y val="-7.11111177473192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0459317598036695"/>
              <c:y val="-8.00881621296018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048480990425102"/>
                  <c:h val="3.7855059961121672E-2"/>
                </c:manualLayout>
              </c15:layout>
            </c:ext>
          </c:extLst>
        </c:dLbl>
      </c:pivotFmt>
      <c:pivotFmt>
        <c:idx val="6"/>
        <c:spPr>
          <a:solidFill>
            <a:schemeClr val="accent1"/>
          </a:solidFill>
          <a:ln>
            <a:noFill/>
          </a:ln>
          <a:effectLst/>
        </c:spPr>
        <c:dLbl>
          <c:idx val="0"/>
          <c:layout>
            <c:manualLayout>
              <c:x val="-0.11995803169083397"/>
              <c:y val="3.7925929465236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5-6EE4-429E-B38A-6B520D1B5741}"/>
              </c:ext>
            </c:extLst>
          </c:dPt>
          <c:dPt>
            <c:idx val="1"/>
            <c:bubble3D val="0"/>
            <c:spPr>
              <a:solidFill>
                <a:schemeClr val="accent2"/>
              </a:solidFill>
              <a:ln>
                <a:noFill/>
              </a:ln>
              <a:effectLst/>
            </c:spPr>
            <c:extLst>
              <c:ext xmlns:c16="http://schemas.microsoft.com/office/drawing/2014/chart" uri="{C3380CC4-5D6E-409C-BE32-E72D297353CC}">
                <c16:uniqueId val="{00000004-6EE4-429E-B38A-6B520D1B5741}"/>
              </c:ext>
            </c:extLst>
          </c:dPt>
          <c:dPt>
            <c:idx val="2"/>
            <c:bubble3D val="0"/>
            <c:spPr>
              <a:solidFill>
                <a:schemeClr val="accent3"/>
              </a:solidFill>
              <a:ln>
                <a:noFill/>
              </a:ln>
              <a:effectLst/>
            </c:spPr>
            <c:extLst>
              <c:ext xmlns:c16="http://schemas.microsoft.com/office/drawing/2014/chart" uri="{C3380CC4-5D6E-409C-BE32-E72D297353CC}">
                <c16:uniqueId val="{00000007-6EE4-429E-B38A-6B520D1B5741}"/>
              </c:ext>
            </c:extLst>
          </c:dPt>
          <c:dPt>
            <c:idx val="3"/>
            <c:bubble3D val="0"/>
            <c:spPr>
              <a:solidFill>
                <a:schemeClr val="accent4"/>
              </a:solidFill>
              <a:ln>
                <a:noFill/>
              </a:ln>
              <a:effectLst/>
            </c:spPr>
            <c:extLst>
              <c:ext xmlns:c16="http://schemas.microsoft.com/office/drawing/2014/chart" uri="{C3380CC4-5D6E-409C-BE32-E72D297353CC}">
                <c16:uniqueId val="{00000006-6EE4-429E-B38A-6B520D1B5741}"/>
              </c:ext>
            </c:extLst>
          </c:dPt>
          <c:dLbls>
            <c:dLbl>
              <c:idx val="0"/>
              <c:layout>
                <c:manualLayout>
                  <c:x val="0.11276054978938392"/>
                  <c:y val="-7.11111177473192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EE4-429E-B38A-6B520D1B5741}"/>
                </c:ext>
              </c:extLst>
            </c:dLbl>
            <c:dLbl>
              <c:idx val="1"/>
              <c:layout>
                <c:manualLayout>
                  <c:x val="0.12235719232465055"/>
                  <c:y val="8.05926001136283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EE4-429E-B38A-6B520D1B5741}"/>
                </c:ext>
              </c:extLst>
            </c:dLbl>
            <c:dLbl>
              <c:idx val="2"/>
              <c:layout>
                <c:manualLayout>
                  <c:x val="-0.11995803169083397"/>
                  <c:y val="3.79259294652368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EE4-429E-B38A-6B520D1B5741}"/>
                </c:ext>
              </c:extLst>
            </c:dLbl>
            <c:dLbl>
              <c:idx val="3"/>
              <c:layout>
                <c:manualLayout>
                  <c:x val="-0.10459317598036695"/>
                  <c:y val="-8.00881621296018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048480990425102"/>
                      <c:h val="3.7855059961121672E-2"/>
                    </c:manualLayout>
                  </c15:layout>
                </c:ext>
                <c:ext xmlns:c16="http://schemas.microsoft.com/office/drawing/2014/chart" uri="{C3380CC4-5D6E-409C-BE32-E72D297353CC}">
                  <c16:uniqueId val="{00000006-6EE4-429E-B38A-6B520D1B57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TABLE'!$A$2:$A$6</c:f>
              <c:strCache>
                <c:ptCount val="4"/>
                <c:pt idx="0">
                  <c:v>East</c:v>
                </c:pt>
                <c:pt idx="1">
                  <c:v>North</c:v>
                </c:pt>
                <c:pt idx="2">
                  <c:v>South</c:v>
                </c:pt>
                <c:pt idx="3">
                  <c:v>West</c:v>
                </c:pt>
              </c:strCache>
            </c:strRef>
          </c:cat>
          <c:val>
            <c:numRef>
              <c:f>'PIVOT TABLE'!$B$2:$B$6</c:f>
              <c:numCache>
                <c:formatCode>_("₹"* #,##0.00_);_("₹"* \(#,##0.00\);_("₹"* "-"??_);_(@_)</c:formatCode>
                <c:ptCount val="4"/>
                <c:pt idx="0">
                  <c:v>3534400</c:v>
                </c:pt>
                <c:pt idx="1">
                  <c:v>2661400</c:v>
                </c:pt>
                <c:pt idx="2">
                  <c:v>2870600</c:v>
                </c:pt>
                <c:pt idx="3">
                  <c:v>3878100</c:v>
                </c:pt>
              </c:numCache>
            </c:numRef>
          </c:val>
          <c:extLst>
            <c:ext xmlns:c16="http://schemas.microsoft.com/office/drawing/2014/chart" uri="{C3380CC4-5D6E-409C-BE32-E72D297353CC}">
              <c16:uniqueId val="{00000003-6EE4-429E-B38A-6B520D1B5741}"/>
            </c:ext>
          </c:extLst>
        </c:ser>
        <c:dLbls>
          <c:showLegendKey val="0"/>
          <c:showVal val="1"/>
          <c:showCatName val="0"/>
          <c:showSerName val="0"/>
          <c:showPercent val="0"/>
          <c:showBubbleSize val="0"/>
          <c:showLeaderLines val="1"/>
        </c:dLbls>
        <c:firstSliceAng val="0"/>
        <c:holeSize val="58"/>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[Sales_Dashboard_2026.xlsx]PIVOT TABLE!PivotTable2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76224846894141"/>
          <c:y val="0.14249781277340332"/>
          <c:w val="0.71868219597550309"/>
          <c:h val="0.80657626130067073"/>
        </c:manualLayout>
      </c:layout>
      <c:barChart>
        <c:barDir val="bar"/>
        <c:grouping val="clustered"/>
        <c:varyColors val="0"/>
        <c:ser>
          <c:idx val="0"/>
          <c:order val="0"/>
          <c:tx>
            <c:strRef>
              <c:f>'PIVOT TABLE'!$E$1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TABLE'!$D$2:$D$9</c:f>
              <c:strCache>
                <c:ptCount val="7"/>
                <c:pt idx="0">
                  <c:v>Action Figure</c:v>
                </c:pt>
                <c:pt idx="1">
                  <c:v>Blender</c:v>
                </c:pt>
                <c:pt idx="2">
                  <c:v>Moisturizer</c:v>
                </c:pt>
                <c:pt idx="3">
                  <c:v>Novel</c:v>
                </c:pt>
                <c:pt idx="4">
                  <c:v>Smartphone</c:v>
                </c:pt>
                <c:pt idx="5">
                  <c:v>Sneakers</c:v>
                </c:pt>
                <c:pt idx="6">
                  <c:v>Tent</c:v>
                </c:pt>
              </c:strCache>
            </c:strRef>
          </c:cat>
          <c:val>
            <c:numRef>
              <c:f>'PIVOT TABLE'!$E$2:$E$9</c:f>
              <c:numCache>
                <c:formatCode>_("₹"* #,##0.00_);_("₹"* \(#,##0.00\);_("₹"* "-"??_);_(@_)</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F497-4588-960E-962BB925DAD5}"/>
            </c:ext>
          </c:extLst>
        </c:ser>
        <c:dLbls>
          <c:dLblPos val="outEnd"/>
          <c:showLegendKey val="0"/>
          <c:showVal val="1"/>
          <c:showCatName val="0"/>
          <c:showSerName val="0"/>
          <c:showPercent val="0"/>
          <c:showBubbleSize val="0"/>
        </c:dLbls>
        <c:gapWidth val="75"/>
        <c:axId val="1896485408"/>
        <c:axId val="1896487808"/>
      </c:barChart>
      <c:catAx>
        <c:axId val="189648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487808"/>
        <c:crosses val="autoZero"/>
        <c:auto val="1"/>
        <c:lblAlgn val="ctr"/>
        <c:lblOffset val="100"/>
        <c:noMultiLvlLbl val="0"/>
      </c:catAx>
      <c:valAx>
        <c:axId val="1896487808"/>
        <c:scaling>
          <c:orientation val="minMax"/>
        </c:scaling>
        <c:delete val="1"/>
        <c:axPos val="b"/>
        <c:numFmt formatCode="_(&quot;₹&quot;* #,##0.00_);_(&quot;₹&quot;* \(#,##0.00\);_(&quot;₹&quot;* &quot;-&quot;??_);_(@_)" sourceLinked="1"/>
        <c:majorTickMark val="none"/>
        <c:minorTickMark val="none"/>
        <c:tickLblPos val="nextTo"/>
        <c:crossAx val="189648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[Sales_Dashboard_2026.xlsx]PIVOT TABLE!PivotTable3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083997313773944E-2"/>
          <c:y val="0.12839707753497284"/>
          <c:w val="0.94417349295904662"/>
          <c:h val="0.6712957530954059"/>
        </c:manualLayout>
      </c:layout>
      <c:barChart>
        <c:barDir val="col"/>
        <c:grouping val="clustered"/>
        <c:varyColors val="0"/>
        <c:ser>
          <c:idx val="0"/>
          <c:order val="0"/>
          <c:tx>
            <c:strRef>
              <c:f>'PIVOT TABLE'!$H$1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TABLE'!$G$2:$G$12</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TABLE'!$H$2:$H$12</c:f>
              <c:numCache>
                <c:formatCode>_("₹"* #,##0.00_);_("₹"* \(#,##0.00\);_("₹"* "-"??_);_(@_)</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CEAA-4206-A29A-8B203BD1256C}"/>
            </c:ext>
          </c:extLst>
        </c:ser>
        <c:dLbls>
          <c:showLegendKey val="0"/>
          <c:showVal val="0"/>
          <c:showCatName val="0"/>
          <c:showSerName val="0"/>
          <c:showPercent val="0"/>
          <c:showBubbleSize val="0"/>
        </c:dLbls>
        <c:gapWidth val="59"/>
        <c:overlap val="-27"/>
        <c:axId val="1964647248"/>
        <c:axId val="1964647728"/>
      </c:barChart>
      <c:catAx>
        <c:axId val="19646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647728"/>
        <c:crosses val="autoZero"/>
        <c:auto val="1"/>
        <c:lblAlgn val="ctr"/>
        <c:lblOffset val="100"/>
        <c:noMultiLvlLbl val="0"/>
      </c:catAx>
      <c:valAx>
        <c:axId val="1964647728"/>
        <c:scaling>
          <c:orientation val="minMax"/>
        </c:scaling>
        <c:delete val="1"/>
        <c:axPos val="l"/>
        <c:numFmt formatCode="_(&quot;₹&quot;* #,##0.00_);_(&quot;₹&quot;* \(#,##0.00\);_(&quot;₹&quot;* &quot;-&quot;??_);_(@_)" sourceLinked="1"/>
        <c:majorTickMark val="none"/>
        <c:minorTickMark val="none"/>
        <c:tickLblPos val="nextTo"/>
        <c:crossAx val="196464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[Sales_Dashboard_2026.xlsx]PIVOT TABLE!PivotTable4</c:name>
    <c:fmtId val="3"/>
  </c:pivotSource>
  <c:chart>
    <c:autoTitleDeleted val="1"/>
    <c:pivotFmts>
      <c:pivotFmt>
        <c:idx val="0"/>
        <c:spPr>
          <a:ln w="34925" cap="rnd">
            <a:solidFill>
              <a:schemeClr val="accent1"/>
            </a:solidFill>
            <a:round/>
          </a:ln>
          <a:effectLst>
            <a:outerShdw dist="25400" dir="2700000" algn="tl" rotWithShape="0">
              <a:schemeClr val="accent1"/>
            </a:outerShdw>
          </a:effectLst>
        </c:spPr>
        <c:marker>
          <c:symbol val="square"/>
          <c:size val="8"/>
          <c:spPr>
            <a:noFill/>
            <a:ln w="222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128918394906257E-2"/>
          <c:y val="0.13006918419772906"/>
          <c:w val="0.92582794541483193"/>
          <c:h val="0.64411490077874656"/>
        </c:manualLayout>
      </c:layout>
      <c:lineChart>
        <c:grouping val="standard"/>
        <c:varyColors val="0"/>
        <c:ser>
          <c:idx val="0"/>
          <c:order val="0"/>
          <c:tx>
            <c:strRef>
              <c:f>'PIVOT TABLE'!$L$1</c:f>
              <c:strCache>
                <c:ptCount val="1"/>
                <c:pt idx="0">
                  <c:v>Total</c:v>
                </c:pt>
              </c:strCache>
            </c:strRef>
          </c:tx>
          <c:spPr>
            <a:ln w="34925" cap="rnd">
              <a:solidFill>
                <a:schemeClr val="accent1"/>
              </a:solidFill>
              <a:round/>
            </a:ln>
            <a:effectLst>
              <a:outerShdw dist="25400" dir="2700000" algn="tl" rotWithShape="0">
                <a:schemeClr val="accent1"/>
              </a:outerShdw>
            </a:effectLst>
          </c:spPr>
          <c:marker>
            <c:symbol val="square"/>
            <c:size val="8"/>
            <c:spPr>
              <a:noFill/>
              <a:ln w="222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TABLE'!$K$2:$K$9</c:f>
              <c:strCache>
                <c:ptCount val="7"/>
                <c:pt idx="0">
                  <c:v>Action Figure</c:v>
                </c:pt>
                <c:pt idx="1">
                  <c:v>Blender</c:v>
                </c:pt>
                <c:pt idx="2">
                  <c:v>Moisturizer</c:v>
                </c:pt>
                <c:pt idx="3">
                  <c:v>Novel</c:v>
                </c:pt>
                <c:pt idx="4">
                  <c:v>Smartphone</c:v>
                </c:pt>
                <c:pt idx="5">
                  <c:v>Sneakers</c:v>
                </c:pt>
                <c:pt idx="6">
                  <c:v>Tent</c:v>
                </c:pt>
              </c:strCache>
            </c:strRef>
          </c:cat>
          <c:val>
            <c:numRef>
              <c:f>'PIVOT TABLE'!$L$2:$L$9</c:f>
              <c:numCache>
                <c:formatCode>General</c:formatCode>
                <c:ptCount val="7"/>
                <c:pt idx="0">
                  <c:v>456</c:v>
                </c:pt>
                <c:pt idx="1">
                  <c:v>635</c:v>
                </c:pt>
                <c:pt idx="2">
                  <c:v>1178</c:v>
                </c:pt>
                <c:pt idx="3">
                  <c:v>898</c:v>
                </c:pt>
                <c:pt idx="4">
                  <c:v>235</c:v>
                </c:pt>
                <c:pt idx="5">
                  <c:v>799</c:v>
                </c:pt>
                <c:pt idx="6">
                  <c:v>504</c:v>
                </c:pt>
              </c:numCache>
            </c:numRef>
          </c:val>
          <c:smooth val="1"/>
          <c:extLst>
            <c:ext xmlns:c16="http://schemas.microsoft.com/office/drawing/2014/chart" uri="{C3380CC4-5D6E-409C-BE32-E72D297353CC}">
              <c16:uniqueId val="{00000000-A975-4EC0-84D9-73B56D9E3CE2}"/>
            </c:ext>
          </c:extLst>
        </c:ser>
        <c:dLbls>
          <c:dLblPos val="t"/>
          <c:showLegendKey val="0"/>
          <c:showVal val="1"/>
          <c:showCatName val="0"/>
          <c:showSerName val="0"/>
          <c:showPercent val="0"/>
          <c:showBubbleSize val="0"/>
        </c:dLbls>
        <c:dropLines>
          <c:spPr>
            <a:ln w="9525" cap="flat" cmpd="sng" algn="ctr">
              <a:solidFill>
                <a:schemeClr val="accent1"/>
              </a:solidFill>
              <a:round/>
            </a:ln>
            <a:effectLst/>
          </c:spPr>
        </c:dropLines>
        <c:marker val="1"/>
        <c:smooth val="0"/>
        <c:axId val="1964769648"/>
        <c:axId val="1964758128"/>
      </c:lineChart>
      <c:catAx>
        <c:axId val="1964769648"/>
        <c:scaling>
          <c:orientation val="minMax"/>
        </c:scaling>
        <c:delete val="0"/>
        <c:axPos val="b"/>
        <c:numFmt formatCode="General" sourceLinked="1"/>
        <c:majorTickMark val="none"/>
        <c:minorTickMark val="none"/>
        <c:tickLblPos val="nextTo"/>
        <c:spPr>
          <a:solidFill>
            <a:schemeClr val="tx1"/>
          </a:solid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64758128"/>
        <c:crosses val="autoZero"/>
        <c:auto val="1"/>
        <c:lblAlgn val="ctr"/>
        <c:lblOffset val="100"/>
        <c:noMultiLvlLbl val="0"/>
      </c:catAx>
      <c:valAx>
        <c:axId val="1964758128"/>
        <c:scaling>
          <c:orientation val="minMax"/>
        </c:scaling>
        <c:delete val="1"/>
        <c:axPos val="l"/>
        <c:numFmt formatCode="General" sourceLinked="1"/>
        <c:majorTickMark val="none"/>
        <c:minorTickMark val="none"/>
        <c:tickLblPos val="nextTo"/>
        <c:crossAx val="1964769648"/>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[Sales_Dashboard_2026.xlsx]PIVOT TABLE!PivotTable4</c:name>
    <c:fmtId val="11"/>
  </c:pivotSource>
  <c:chart>
    <c:autoTitleDeleted val="1"/>
    <c:pivotFmts>
      <c:pivotFmt>
        <c:idx val="0"/>
        <c:spPr>
          <a:pattFill prst="ltUpDiag">
            <a:fgClr>
              <a:schemeClr val="accent1"/>
            </a:fgClr>
            <a:bgClr>
              <a:schemeClr val="lt1"/>
            </a:bgClr>
          </a:pattFill>
          <a:ln w="34925" cap="rnd">
            <a:solidFill>
              <a:schemeClr val="accent1"/>
            </a:solidFill>
            <a:round/>
          </a:ln>
          <a:effectLst>
            <a:outerShdw dist="25400" dir="2700000" algn="tl" rotWithShape="0">
              <a:schemeClr val="accent1"/>
            </a:outerShdw>
          </a:effectLst>
        </c:spPr>
        <c:marker>
          <c:symbol val="square"/>
          <c:size val="8"/>
          <c:spPr>
            <a:noFill/>
            <a:ln w="222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accent1"/>
            </a:solidFill>
            <a:round/>
          </a:ln>
          <a:effectLst>
            <a:outerShdw dist="25400" dir="2700000" algn="tl" rotWithShape="0">
              <a:schemeClr val="accent1"/>
            </a:outerShdw>
          </a:effectLst>
        </c:spPr>
        <c:marker>
          <c:symbol val="square"/>
          <c:size val="8"/>
          <c:spPr>
            <a:noFill/>
            <a:ln w="222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dist="25400" dir="2700000" algn="tl" rotWithShape="0">
              <a:schemeClr val="accent1"/>
            </a:outerShdw>
          </a:effectLst>
        </c:spPr>
        <c:marker>
          <c:symbol val="square"/>
          <c:size val="8"/>
          <c:spPr>
            <a:noFill/>
            <a:ln w="22225">
              <a:solidFill>
                <a:schemeClr val="accent1"/>
              </a:solidFill>
              <a:round/>
            </a:ln>
            <a:effectLst/>
          </c:spPr>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321558336831488E-2"/>
          <c:y val="0.12088560111793854"/>
          <c:w val="0.92582794541483193"/>
          <c:h val="0.64411490077874656"/>
        </c:manualLayout>
      </c:layout>
      <c:lineChart>
        <c:grouping val="standard"/>
        <c:varyColors val="0"/>
        <c:ser>
          <c:idx val="0"/>
          <c:order val="0"/>
          <c:tx>
            <c:strRef>
              <c:f>'PIVOT TABLE'!$L$1</c:f>
              <c:strCache>
                <c:ptCount val="1"/>
                <c:pt idx="0">
                  <c:v>Total</c:v>
                </c:pt>
              </c:strCache>
            </c:strRef>
          </c:tx>
          <c:spPr>
            <a:ln w="34925" cap="rnd">
              <a:solidFill>
                <a:schemeClr val="accent1"/>
              </a:solidFill>
              <a:round/>
            </a:ln>
            <a:effectLst>
              <a:outerShdw dist="25400" dir="2700000" algn="tl" rotWithShape="0">
                <a:schemeClr val="accent1"/>
              </a:outerShdw>
            </a:effectLst>
          </c:spPr>
          <c:marker>
            <c:symbol val="square"/>
            <c:size val="8"/>
            <c:spPr>
              <a:noFill/>
              <a:ln w="22225">
                <a:solidFill>
                  <a:schemeClr val="accent1"/>
                </a:solidFill>
                <a:round/>
              </a:ln>
              <a:effectLst/>
            </c:spPr>
          </c:marker>
          <c:dLbls>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TABLE'!$K$2:$K$9</c:f>
              <c:strCache>
                <c:ptCount val="7"/>
                <c:pt idx="0">
                  <c:v>Action Figure</c:v>
                </c:pt>
                <c:pt idx="1">
                  <c:v>Blender</c:v>
                </c:pt>
                <c:pt idx="2">
                  <c:v>Moisturizer</c:v>
                </c:pt>
                <c:pt idx="3">
                  <c:v>Novel</c:v>
                </c:pt>
                <c:pt idx="4">
                  <c:v>Smartphone</c:v>
                </c:pt>
                <c:pt idx="5">
                  <c:v>Sneakers</c:v>
                </c:pt>
                <c:pt idx="6">
                  <c:v>Tent</c:v>
                </c:pt>
              </c:strCache>
            </c:strRef>
          </c:cat>
          <c:val>
            <c:numRef>
              <c:f>'PIVOT TABLE'!$L$2:$L$9</c:f>
              <c:numCache>
                <c:formatCode>General</c:formatCode>
                <c:ptCount val="7"/>
                <c:pt idx="0">
                  <c:v>456</c:v>
                </c:pt>
                <c:pt idx="1">
                  <c:v>635</c:v>
                </c:pt>
                <c:pt idx="2">
                  <c:v>1178</c:v>
                </c:pt>
                <c:pt idx="3">
                  <c:v>898</c:v>
                </c:pt>
                <c:pt idx="4">
                  <c:v>235</c:v>
                </c:pt>
                <c:pt idx="5">
                  <c:v>799</c:v>
                </c:pt>
                <c:pt idx="6">
                  <c:v>504</c:v>
                </c:pt>
              </c:numCache>
            </c:numRef>
          </c:val>
          <c:smooth val="1"/>
          <c:extLst>
            <c:ext xmlns:c16="http://schemas.microsoft.com/office/drawing/2014/chart" uri="{C3380CC4-5D6E-409C-BE32-E72D297353CC}">
              <c16:uniqueId val="{00000000-0FAC-495D-A92A-7901850B9A98}"/>
            </c:ext>
          </c:extLst>
        </c:ser>
        <c:dLbls>
          <c:dLblPos val="t"/>
          <c:showLegendKey val="0"/>
          <c:showVal val="1"/>
          <c:showCatName val="0"/>
          <c:showSerName val="0"/>
          <c:showPercent val="0"/>
          <c:showBubbleSize val="0"/>
        </c:dLbls>
        <c:dropLines>
          <c:spPr>
            <a:ln w="9525" cap="flat" cmpd="sng" algn="ctr">
              <a:solidFill>
                <a:schemeClr val="accent1"/>
              </a:solidFill>
              <a:round/>
            </a:ln>
            <a:effectLst/>
          </c:spPr>
        </c:dropLines>
        <c:marker val="1"/>
        <c:smooth val="0"/>
        <c:axId val="1964769648"/>
        <c:axId val="1964758128"/>
      </c:lineChart>
      <c:catAx>
        <c:axId val="1964769648"/>
        <c:scaling>
          <c:orientation val="minMax"/>
        </c:scaling>
        <c:delete val="0"/>
        <c:axPos val="b"/>
        <c:numFmt formatCode="General" sourceLinked="1"/>
        <c:majorTickMark val="none"/>
        <c:minorTickMark val="none"/>
        <c:tickLblPos val="nextTo"/>
        <c:spPr>
          <a:solidFill>
            <a:schemeClr val="tx1"/>
          </a:solid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64758128"/>
        <c:crosses val="autoZero"/>
        <c:auto val="1"/>
        <c:lblAlgn val="ctr"/>
        <c:lblOffset val="100"/>
        <c:noMultiLvlLbl val="0"/>
      </c:catAx>
      <c:valAx>
        <c:axId val="1964758128"/>
        <c:scaling>
          <c:orientation val="minMax"/>
        </c:scaling>
        <c:delete val="1"/>
        <c:axPos val="l"/>
        <c:numFmt formatCode="General" sourceLinked="1"/>
        <c:majorTickMark val="none"/>
        <c:minorTickMark val="none"/>
        <c:tickLblPos val="nextTo"/>
        <c:crossAx val="196476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[Sales_Dashboard_2026.xlsx]PIVOT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2235719232465055"/>
              <c:y val="8.05926001136283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1276054978938392"/>
              <c:y val="-7.11111177473192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0459317598036695"/>
              <c:y val="-8.00881621296018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048480990425102"/>
                  <c:h val="3.7855059961121672E-2"/>
                </c:manualLayout>
              </c15:layout>
            </c:ext>
          </c:extLst>
        </c:dLbl>
      </c:pivotFmt>
      <c:pivotFmt>
        <c:idx val="6"/>
        <c:spPr>
          <a:solidFill>
            <a:schemeClr val="accent1"/>
          </a:solidFill>
          <a:ln>
            <a:noFill/>
          </a:ln>
          <a:effectLst/>
        </c:spPr>
        <c:dLbl>
          <c:idx val="0"/>
          <c:layout>
            <c:manualLayout>
              <c:x val="-0.11995803169083397"/>
              <c:y val="3.7925929465236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1276054978938392"/>
              <c:y val="-7.11111177473192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12235719232465055"/>
              <c:y val="8.05926001136283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11995803169083397"/>
              <c:y val="3.7925929465236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10459317598036695"/>
              <c:y val="-8.00881621296018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048480990425102"/>
                  <c:h val="3.7855059961121672E-2"/>
                </c:manualLayout>
              </c15:layout>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1276054978938392"/>
              <c:y val="-7.11111177473192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12235719232465055"/>
              <c:y val="8.05926001136283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1995803169083397"/>
              <c:y val="3.7925929465236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10459317598036695"/>
              <c:y val="-8.00881621296018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048480990425102"/>
                  <c:h val="3.7855059961121672E-2"/>
                </c:manualLayout>
              </c15:layout>
            </c:ext>
          </c:extLst>
        </c:dLbl>
      </c:pivotFmt>
    </c:pivotFmts>
    <c:plotArea>
      <c:layout/>
      <c:doughnutChart>
        <c:varyColors val="1"/>
        <c:ser>
          <c:idx val="0"/>
          <c:order val="0"/>
          <c:tx>
            <c:strRef>
              <c:f>'PIVOT TABLE'!$B$1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8C6-4E76-BA3F-A1BB201D9B6C}"/>
              </c:ext>
            </c:extLst>
          </c:dPt>
          <c:dPt>
            <c:idx val="1"/>
            <c:bubble3D val="0"/>
            <c:spPr>
              <a:solidFill>
                <a:schemeClr val="accent2"/>
              </a:solidFill>
              <a:ln>
                <a:noFill/>
              </a:ln>
              <a:effectLst/>
            </c:spPr>
            <c:extLst>
              <c:ext xmlns:c16="http://schemas.microsoft.com/office/drawing/2014/chart" uri="{C3380CC4-5D6E-409C-BE32-E72D297353CC}">
                <c16:uniqueId val="{00000003-08C6-4E76-BA3F-A1BB201D9B6C}"/>
              </c:ext>
            </c:extLst>
          </c:dPt>
          <c:dPt>
            <c:idx val="2"/>
            <c:bubble3D val="0"/>
            <c:spPr>
              <a:solidFill>
                <a:schemeClr val="accent3"/>
              </a:solidFill>
              <a:ln>
                <a:noFill/>
              </a:ln>
              <a:effectLst/>
            </c:spPr>
            <c:extLst>
              <c:ext xmlns:c16="http://schemas.microsoft.com/office/drawing/2014/chart" uri="{C3380CC4-5D6E-409C-BE32-E72D297353CC}">
                <c16:uniqueId val="{00000005-08C6-4E76-BA3F-A1BB201D9B6C}"/>
              </c:ext>
            </c:extLst>
          </c:dPt>
          <c:dPt>
            <c:idx val="3"/>
            <c:bubble3D val="0"/>
            <c:spPr>
              <a:solidFill>
                <a:schemeClr val="accent4"/>
              </a:solidFill>
              <a:ln>
                <a:noFill/>
              </a:ln>
              <a:effectLst/>
            </c:spPr>
            <c:extLst>
              <c:ext xmlns:c16="http://schemas.microsoft.com/office/drawing/2014/chart" uri="{C3380CC4-5D6E-409C-BE32-E72D297353CC}">
                <c16:uniqueId val="{00000007-08C6-4E76-BA3F-A1BB201D9B6C}"/>
              </c:ext>
            </c:extLst>
          </c:dPt>
          <c:dLbls>
            <c:dLbl>
              <c:idx val="0"/>
              <c:layout>
                <c:manualLayout>
                  <c:x val="0.11276054978938392"/>
                  <c:y val="-7.11111177473192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C6-4E76-BA3F-A1BB201D9B6C}"/>
                </c:ext>
              </c:extLst>
            </c:dLbl>
            <c:dLbl>
              <c:idx val="1"/>
              <c:layout>
                <c:manualLayout>
                  <c:x val="0.12235719232465055"/>
                  <c:y val="8.05926001136283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C6-4E76-BA3F-A1BB201D9B6C}"/>
                </c:ext>
              </c:extLst>
            </c:dLbl>
            <c:dLbl>
              <c:idx val="2"/>
              <c:layout>
                <c:manualLayout>
                  <c:x val="-0.11995803169083397"/>
                  <c:y val="3.79259294652368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8C6-4E76-BA3F-A1BB201D9B6C}"/>
                </c:ext>
              </c:extLst>
            </c:dLbl>
            <c:dLbl>
              <c:idx val="3"/>
              <c:layout>
                <c:manualLayout>
                  <c:x val="-0.10459317598036695"/>
                  <c:y val="-8.00881621296018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048480990425102"/>
                      <c:h val="3.7855059961121672E-2"/>
                    </c:manualLayout>
                  </c15:layout>
                </c:ext>
                <c:ext xmlns:c16="http://schemas.microsoft.com/office/drawing/2014/chart" uri="{C3380CC4-5D6E-409C-BE32-E72D297353CC}">
                  <c16:uniqueId val="{00000007-08C6-4E76-BA3F-A1BB201D9B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TABLE'!$A$2:$A$6</c:f>
              <c:strCache>
                <c:ptCount val="4"/>
                <c:pt idx="0">
                  <c:v>East</c:v>
                </c:pt>
                <c:pt idx="1">
                  <c:v>North</c:v>
                </c:pt>
                <c:pt idx="2">
                  <c:v>South</c:v>
                </c:pt>
                <c:pt idx="3">
                  <c:v>West</c:v>
                </c:pt>
              </c:strCache>
            </c:strRef>
          </c:cat>
          <c:val>
            <c:numRef>
              <c:f>'PIVOT TABLE'!$B$2:$B$6</c:f>
              <c:numCache>
                <c:formatCode>_("₹"* #,##0.00_);_("₹"* \(#,##0.00\);_("₹"* "-"??_);_(@_)</c:formatCode>
                <c:ptCount val="4"/>
                <c:pt idx="0">
                  <c:v>3534400</c:v>
                </c:pt>
                <c:pt idx="1">
                  <c:v>2661400</c:v>
                </c:pt>
                <c:pt idx="2">
                  <c:v>2870600</c:v>
                </c:pt>
                <c:pt idx="3">
                  <c:v>3878100</c:v>
                </c:pt>
              </c:numCache>
            </c:numRef>
          </c:val>
          <c:extLst>
            <c:ext xmlns:c16="http://schemas.microsoft.com/office/drawing/2014/chart" uri="{C3380CC4-5D6E-409C-BE32-E72D297353CC}">
              <c16:uniqueId val="{00000008-08C6-4E76-BA3F-A1BB201D9B6C}"/>
            </c:ext>
          </c:extLst>
        </c:ser>
        <c:dLbls>
          <c:showLegendKey val="0"/>
          <c:showVal val="1"/>
          <c:showCatName val="0"/>
          <c:showSerName val="0"/>
          <c:showPercent val="0"/>
          <c:showBubbleSize val="0"/>
          <c:showLeaderLines val="1"/>
        </c:dLbls>
        <c:firstSliceAng val="0"/>
        <c:holeSize val="58"/>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[Sales_Dashboard_2026.xlsx]PIVOT TABLE!PivotTable2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76224846894141"/>
          <c:y val="0.14249781277340332"/>
          <c:w val="0.71868219597550309"/>
          <c:h val="0.80657626130067073"/>
        </c:manualLayout>
      </c:layout>
      <c:barChart>
        <c:barDir val="bar"/>
        <c:grouping val="clustered"/>
        <c:varyColors val="0"/>
        <c:ser>
          <c:idx val="0"/>
          <c:order val="0"/>
          <c:tx>
            <c:strRef>
              <c:f>'PIVOT TABLE'!$E$1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TABLE'!$D$2:$D$9</c:f>
              <c:strCache>
                <c:ptCount val="7"/>
                <c:pt idx="0">
                  <c:v>Action Figure</c:v>
                </c:pt>
                <c:pt idx="1">
                  <c:v>Blender</c:v>
                </c:pt>
                <c:pt idx="2">
                  <c:v>Moisturizer</c:v>
                </c:pt>
                <c:pt idx="3">
                  <c:v>Novel</c:v>
                </c:pt>
                <c:pt idx="4">
                  <c:v>Smartphone</c:v>
                </c:pt>
                <c:pt idx="5">
                  <c:v>Sneakers</c:v>
                </c:pt>
                <c:pt idx="6">
                  <c:v>Tent</c:v>
                </c:pt>
              </c:strCache>
            </c:strRef>
          </c:cat>
          <c:val>
            <c:numRef>
              <c:f>'PIVOT TABLE'!$E$2:$E$9</c:f>
              <c:numCache>
                <c:formatCode>_("₹"* #,##0.00_);_("₹"* \(#,##0.00\);_("₹"* "-"??_);_(@_)</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37E5-48C3-9EF3-57432B65C19E}"/>
            </c:ext>
          </c:extLst>
        </c:ser>
        <c:dLbls>
          <c:dLblPos val="outEnd"/>
          <c:showLegendKey val="0"/>
          <c:showVal val="1"/>
          <c:showCatName val="0"/>
          <c:showSerName val="0"/>
          <c:showPercent val="0"/>
          <c:showBubbleSize val="0"/>
        </c:dLbls>
        <c:gapWidth val="75"/>
        <c:axId val="1896485408"/>
        <c:axId val="1896487808"/>
      </c:barChart>
      <c:catAx>
        <c:axId val="189648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487808"/>
        <c:crosses val="autoZero"/>
        <c:auto val="1"/>
        <c:lblAlgn val="ctr"/>
        <c:lblOffset val="100"/>
        <c:noMultiLvlLbl val="0"/>
      </c:catAx>
      <c:valAx>
        <c:axId val="1896487808"/>
        <c:scaling>
          <c:orientation val="minMax"/>
        </c:scaling>
        <c:delete val="1"/>
        <c:axPos val="b"/>
        <c:numFmt formatCode="_(&quot;₹&quot;* #,##0.00_);_(&quot;₹&quot;* \(#,##0.00\);_(&quot;₹&quot;* &quot;-&quot;??_);_(@_)" sourceLinked="1"/>
        <c:majorTickMark val="none"/>
        <c:minorTickMark val="none"/>
        <c:tickLblPos val="nextTo"/>
        <c:crossAx val="189648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[Sales_Dashboard_2026.xlsx]PIVOT TABLE!PivotTable3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084017497701842E-2"/>
          <c:y val="0.12839705657727771"/>
          <c:w val="0.94417349295904662"/>
          <c:h val="0.6712957530954059"/>
        </c:manualLayout>
      </c:layout>
      <c:barChart>
        <c:barDir val="col"/>
        <c:grouping val="clustered"/>
        <c:varyColors val="0"/>
        <c:ser>
          <c:idx val="0"/>
          <c:order val="0"/>
          <c:tx>
            <c:strRef>
              <c:f>'PIVOT TABLE'!$H$1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TABLE'!$G$2:$G$12</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TABLE'!$H$2:$H$12</c:f>
              <c:numCache>
                <c:formatCode>_("₹"* #,##0.00_);_("₹"* \(#,##0.00\);_("₹"* "-"??_);_(@_)</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86BA-4E7A-99C7-425F943A8CFB}"/>
            </c:ext>
          </c:extLst>
        </c:ser>
        <c:dLbls>
          <c:showLegendKey val="0"/>
          <c:showVal val="0"/>
          <c:showCatName val="0"/>
          <c:showSerName val="0"/>
          <c:showPercent val="0"/>
          <c:showBubbleSize val="0"/>
        </c:dLbls>
        <c:gapWidth val="59"/>
        <c:overlap val="-27"/>
        <c:axId val="1964647248"/>
        <c:axId val="1964647728"/>
      </c:barChart>
      <c:catAx>
        <c:axId val="19646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647728"/>
        <c:crosses val="autoZero"/>
        <c:auto val="1"/>
        <c:lblAlgn val="ctr"/>
        <c:lblOffset val="100"/>
        <c:noMultiLvlLbl val="0"/>
      </c:catAx>
      <c:valAx>
        <c:axId val="1964647728"/>
        <c:scaling>
          <c:orientation val="minMax"/>
        </c:scaling>
        <c:delete val="1"/>
        <c:axPos val="l"/>
        <c:numFmt formatCode="_(&quot;₹&quot;* #,##0.00_);_(&quot;₹&quot;* \(#,##0.00\);_(&quot;₹&quot;* &quot;-&quot;??_);_(@_)" sourceLinked="1"/>
        <c:majorTickMark val="none"/>
        <c:minorTickMark val="none"/>
        <c:tickLblPos val="nextTo"/>
        <c:crossAx val="196464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473363</xdr:colOff>
      <xdr:row>2</xdr:row>
      <xdr:rowOff>126999</xdr:rowOff>
    </xdr:from>
    <xdr:to>
      <xdr:col>9</xdr:col>
      <xdr:colOff>166254</xdr:colOff>
      <xdr:row>17</xdr:row>
      <xdr:rowOff>126999</xdr:rowOff>
    </xdr:to>
    <xdr:graphicFrame macro="">
      <xdr:nvGraphicFramePr>
        <xdr:cNvPr id="2" name="Chart 1">
          <a:extLst>
            <a:ext uri="{FF2B5EF4-FFF2-40B4-BE49-F238E27FC236}">
              <a16:creationId xmlns:a16="http://schemas.microsoft.com/office/drawing/2014/main" id="{2E558738-2A09-26A3-BE1E-174DCC2A59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26</xdr:col>
      <xdr:colOff>190500</xdr:colOff>
      <xdr:row>16</xdr:row>
      <xdr:rowOff>0</xdr:rowOff>
    </xdr:to>
    <xdr:graphicFrame macro="">
      <xdr:nvGraphicFramePr>
        <xdr:cNvPr id="2" name="Chart 1">
          <a:extLst>
            <a:ext uri="{FF2B5EF4-FFF2-40B4-BE49-F238E27FC236}">
              <a16:creationId xmlns:a16="http://schemas.microsoft.com/office/drawing/2014/main" id="{7996C89D-F282-C38C-E90A-ED774DDC9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17</xdr:row>
      <xdr:rowOff>70835</xdr:rowOff>
    </xdr:from>
    <xdr:to>
      <xdr:col>5</xdr:col>
      <xdr:colOff>423862</xdr:colOff>
      <xdr:row>32</xdr:row>
      <xdr:rowOff>70835</xdr:rowOff>
    </xdr:to>
    <xdr:graphicFrame macro="">
      <xdr:nvGraphicFramePr>
        <xdr:cNvPr id="2" name="Chart 1">
          <a:extLst>
            <a:ext uri="{FF2B5EF4-FFF2-40B4-BE49-F238E27FC236}">
              <a16:creationId xmlns:a16="http://schemas.microsoft.com/office/drawing/2014/main" id="{0C00138E-2C5A-4455-07FB-4E5EDEE57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452438</xdr:colOff>
      <xdr:row>17</xdr:row>
      <xdr:rowOff>51197</xdr:rowOff>
    </xdr:from>
    <xdr:to>
      <xdr:col>11</xdr:col>
      <xdr:colOff>309563</xdr:colOff>
      <xdr:row>32</xdr:row>
      <xdr:rowOff>115491</xdr:rowOff>
    </xdr:to>
    <xdr:graphicFrame macro="">
      <xdr:nvGraphicFramePr>
        <xdr:cNvPr id="4" name="Chart 3">
          <a:extLst>
            <a:ext uri="{FF2B5EF4-FFF2-40B4-BE49-F238E27FC236}">
              <a16:creationId xmlns:a16="http://schemas.microsoft.com/office/drawing/2014/main" id="{DFDE9182-F634-232B-8459-0111CB742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430389</xdr:colOff>
      <xdr:row>17</xdr:row>
      <xdr:rowOff>131202</xdr:rowOff>
    </xdr:from>
    <xdr:to>
      <xdr:col>19</xdr:col>
      <xdr:colOff>101180</xdr:colOff>
      <xdr:row>33</xdr:row>
      <xdr:rowOff>42729</xdr:rowOff>
    </xdr:to>
    <xdr:graphicFrame macro="">
      <xdr:nvGraphicFramePr>
        <xdr:cNvPr id="5" name="Chart 4">
          <a:extLst>
            <a:ext uri="{FF2B5EF4-FFF2-40B4-BE49-F238E27FC236}">
              <a16:creationId xmlns:a16="http://schemas.microsoft.com/office/drawing/2014/main" id="{BA6056E4-6281-2B16-35CA-0AFB70561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235547</xdr:colOff>
      <xdr:row>18</xdr:row>
      <xdr:rowOff>25942</xdr:rowOff>
    </xdr:from>
    <xdr:to>
      <xdr:col>26</xdr:col>
      <xdr:colOff>512884</xdr:colOff>
      <xdr:row>33</xdr:row>
      <xdr:rowOff>17475</xdr:rowOff>
    </xdr:to>
    <xdr:graphicFrame macro="">
      <xdr:nvGraphicFramePr>
        <xdr:cNvPr id="6" name="Chart 5">
          <a:extLst>
            <a:ext uri="{FF2B5EF4-FFF2-40B4-BE49-F238E27FC236}">
              <a16:creationId xmlns:a16="http://schemas.microsoft.com/office/drawing/2014/main" id="{3CFEAFB8-232D-C8A0-82FB-CA4320E52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88555</xdr:colOff>
      <xdr:row>4</xdr:row>
      <xdr:rowOff>60294</xdr:rowOff>
    </xdr:from>
    <xdr:to>
      <xdr:col>6</xdr:col>
      <xdr:colOff>156340</xdr:colOff>
      <xdr:row>18</xdr:row>
      <xdr:rowOff>52249</xdr:rowOff>
    </xdr:to>
    <mc:AlternateContent xmlns:mc="http://schemas.openxmlformats.org/markup-compatibility/2006" xmlns:a14="http://schemas.microsoft.com/office/drawing/2010/main">
      <mc:Choice Requires="a14">
        <xdr:graphicFrame macro="">
          <xdr:nvGraphicFramePr>
            <xdr:cNvPr id="3" name="Sales Person">
              <a:extLst>
                <a:ext uri="{FF2B5EF4-FFF2-40B4-BE49-F238E27FC236}">
                  <a16:creationId xmlns:a16="http://schemas.microsoft.com/office/drawing/2014/main" id="{C96D0146-9D1B-17C7-BEB8-6E08405CD17B}"/>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3656424" y="800930"/>
              <a:ext cx="1833916" cy="2584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250498</xdr:colOff>
      <xdr:row>8</xdr:row>
      <xdr:rowOff>22490</xdr:rowOff>
    </xdr:from>
    <xdr:to>
      <xdr:col>2</xdr:col>
      <xdr:colOff>60457</xdr:colOff>
      <xdr:row>11</xdr:row>
      <xdr:rowOff>170155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9A80219-5535-76CF-0C8F-1B34B6E0F7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0498" y="1503761"/>
              <a:ext cx="1832464" cy="703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301471</xdr:colOff>
      <xdr:row>4</xdr:row>
      <xdr:rowOff>147443</xdr:rowOff>
    </xdr:from>
    <xdr:to>
      <xdr:col>11</xdr:col>
      <xdr:colOff>657505</xdr:colOff>
      <xdr:row>18</xdr:row>
      <xdr:rowOff>139398</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0538B985-DD83-F062-6DE5-C4218218E02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270424" y="888079"/>
              <a:ext cx="1837305" cy="2584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25977</xdr:rowOff>
    </xdr:from>
    <xdr:to>
      <xdr:col>20</xdr:col>
      <xdr:colOff>571500</xdr:colOff>
      <xdr:row>4</xdr:row>
      <xdr:rowOff>132657</xdr:rowOff>
    </xdr:to>
    <xdr:sp macro="" textlink="">
      <xdr:nvSpPr>
        <xdr:cNvPr id="5" name="Rectangle: Rounded Corners 4">
          <a:extLst>
            <a:ext uri="{FF2B5EF4-FFF2-40B4-BE49-F238E27FC236}">
              <a16:creationId xmlns:a16="http://schemas.microsoft.com/office/drawing/2014/main" id="{CBDBFD7E-773C-3B5E-0CFF-FCA251770AB5}"/>
            </a:ext>
          </a:extLst>
        </xdr:cNvPr>
        <xdr:cNvSpPr/>
      </xdr:nvSpPr>
      <xdr:spPr>
        <a:xfrm>
          <a:off x="0" y="25977"/>
          <a:ext cx="12694227" cy="834044"/>
        </a:xfrm>
        <a:prstGeom prst="roundRect">
          <a:avLst/>
        </a:prstGeom>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600" b="1">
              <a:solidFill>
                <a:schemeClr val="accent1"/>
              </a:solidFill>
            </a:rPr>
            <a:t>SALES</a:t>
          </a:r>
          <a:r>
            <a:rPr lang="en-IN" sz="3600" b="1" baseline="0">
              <a:solidFill>
                <a:schemeClr val="accent1"/>
              </a:solidFill>
            </a:rPr>
            <a:t> DASHBORD -2026</a:t>
          </a:r>
          <a:endParaRPr lang="en-IN" sz="3600" b="1">
            <a:solidFill>
              <a:schemeClr val="accent1"/>
            </a:solidFill>
          </a:endParaRPr>
        </a:p>
      </xdr:txBody>
    </xdr:sp>
    <xdr:clientData/>
  </xdr:twoCellAnchor>
  <xdr:twoCellAnchor>
    <xdr:from>
      <xdr:col>0</xdr:col>
      <xdr:colOff>0</xdr:colOff>
      <xdr:row>4</xdr:row>
      <xdr:rowOff>183547</xdr:rowOff>
    </xdr:from>
    <xdr:to>
      <xdr:col>3</xdr:col>
      <xdr:colOff>304800</xdr:colOff>
      <xdr:row>9</xdr:row>
      <xdr:rowOff>54063</xdr:rowOff>
    </xdr:to>
    <xdr:grpSp>
      <xdr:nvGrpSpPr>
        <xdr:cNvPr id="53" name="Group 52">
          <a:extLst>
            <a:ext uri="{FF2B5EF4-FFF2-40B4-BE49-F238E27FC236}">
              <a16:creationId xmlns:a16="http://schemas.microsoft.com/office/drawing/2014/main" id="{76E7F4C9-BBFB-889E-4B19-08E4F8DD4572}"/>
            </a:ext>
          </a:extLst>
        </xdr:cNvPr>
        <xdr:cNvGrpSpPr/>
      </xdr:nvGrpSpPr>
      <xdr:grpSpPr>
        <a:xfrm>
          <a:off x="0" y="894747"/>
          <a:ext cx="2133600" cy="797616"/>
          <a:chOff x="0" y="934504"/>
          <a:chExt cx="2126974" cy="842342"/>
        </a:xfrm>
      </xdr:grpSpPr>
      <xdr:sp macro="" textlink="">
        <xdr:nvSpPr>
          <xdr:cNvPr id="6" name="Rectangle: Rounded Corners 5">
            <a:extLst>
              <a:ext uri="{FF2B5EF4-FFF2-40B4-BE49-F238E27FC236}">
                <a16:creationId xmlns:a16="http://schemas.microsoft.com/office/drawing/2014/main" id="{48B0AB9A-C75A-4065-A923-3A920208CF61}"/>
              </a:ext>
            </a:extLst>
          </xdr:cNvPr>
          <xdr:cNvSpPr/>
        </xdr:nvSpPr>
        <xdr:spPr>
          <a:xfrm>
            <a:off x="0" y="942811"/>
            <a:ext cx="2126974" cy="822187"/>
          </a:xfrm>
          <a:prstGeom prst="roundRect">
            <a:avLst/>
          </a:prstGeom>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BFB9F8BA-D726-45B5-9108-F015C248219E}"/>
              </a:ext>
            </a:extLst>
          </xdr:cNvPr>
          <xdr:cNvSpPr/>
        </xdr:nvSpPr>
        <xdr:spPr>
          <a:xfrm>
            <a:off x="0" y="934504"/>
            <a:ext cx="617792" cy="842342"/>
          </a:xfrm>
          <a:prstGeom prst="roundRect">
            <a:avLst/>
          </a:prstGeom>
          <a:solidFill>
            <a:schemeClr val="accent1"/>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E93E8488-52F4-FDB8-9A3C-319F73D607E9}"/>
              </a:ext>
            </a:extLst>
          </xdr:cNvPr>
          <xdr:cNvSpPr txBox="1"/>
        </xdr:nvSpPr>
        <xdr:spPr>
          <a:xfrm>
            <a:off x="877150" y="947039"/>
            <a:ext cx="1212001" cy="4644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TOTAL</a:t>
            </a:r>
            <a:r>
              <a:rPr lang="en-IN" sz="1100" b="1" baseline="0">
                <a:solidFill>
                  <a:schemeClr val="accent1"/>
                </a:solidFill>
              </a:rPr>
              <a:t> SALES</a:t>
            </a:r>
            <a:endParaRPr lang="en-IN" sz="1100" b="1">
              <a:solidFill>
                <a:schemeClr val="accent1"/>
              </a:solidFill>
            </a:endParaRPr>
          </a:p>
        </xdr:txBody>
      </xdr:sp>
      <xdr:sp macro="" textlink="Sheet16!L2">
        <xdr:nvSpPr>
          <xdr:cNvPr id="9" name="TextBox 8">
            <a:extLst>
              <a:ext uri="{FF2B5EF4-FFF2-40B4-BE49-F238E27FC236}">
                <a16:creationId xmlns:a16="http://schemas.microsoft.com/office/drawing/2014/main" id="{AF36C951-467D-A94A-1183-F861377FE183}"/>
              </a:ext>
            </a:extLst>
          </xdr:cNvPr>
          <xdr:cNvSpPr txBox="1"/>
        </xdr:nvSpPr>
        <xdr:spPr>
          <a:xfrm>
            <a:off x="761720" y="1190419"/>
            <a:ext cx="1224428" cy="292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FD4BE5-CD87-4F85-9378-7C47D86FBA6A}" type="TxLink">
              <a:rPr lang="en-US" sz="1200" b="1" i="0" u="none" strike="noStrike">
                <a:solidFill>
                  <a:schemeClr val="accent1"/>
                </a:solidFill>
                <a:latin typeface="Aptos Narrow"/>
              </a:rPr>
              <a:pPr/>
              <a:t> 1,29,44,500.00 </a:t>
            </a:fld>
            <a:endParaRPr lang="en-IN" sz="1200" b="1">
              <a:solidFill>
                <a:schemeClr val="accent1"/>
              </a:solidFill>
            </a:endParaRPr>
          </a:p>
        </xdr:txBody>
      </xdr:sp>
    </xdr:grpSp>
    <xdr:clientData/>
  </xdr:twoCellAnchor>
  <xdr:twoCellAnchor>
    <xdr:from>
      <xdr:col>3</xdr:col>
      <xdr:colOff>353391</xdr:colOff>
      <xdr:row>4</xdr:row>
      <xdr:rowOff>183547</xdr:rowOff>
    </xdr:from>
    <xdr:to>
      <xdr:col>7</xdr:col>
      <xdr:colOff>50800</xdr:colOff>
      <xdr:row>9</xdr:row>
      <xdr:rowOff>54063</xdr:rowOff>
    </xdr:to>
    <xdr:grpSp>
      <xdr:nvGrpSpPr>
        <xdr:cNvPr id="38" name="Group 37">
          <a:extLst>
            <a:ext uri="{FF2B5EF4-FFF2-40B4-BE49-F238E27FC236}">
              <a16:creationId xmlns:a16="http://schemas.microsoft.com/office/drawing/2014/main" id="{783A4159-E51B-2D74-0E49-38264F6CA419}"/>
            </a:ext>
          </a:extLst>
        </xdr:cNvPr>
        <xdr:cNvGrpSpPr/>
      </xdr:nvGrpSpPr>
      <xdr:grpSpPr>
        <a:xfrm>
          <a:off x="2182191" y="894747"/>
          <a:ext cx="2135809" cy="797616"/>
          <a:chOff x="0" y="934504"/>
          <a:chExt cx="2126974" cy="842342"/>
        </a:xfrm>
      </xdr:grpSpPr>
      <xdr:sp macro="" textlink="">
        <xdr:nvSpPr>
          <xdr:cNvPr id="39" name="Rectangle: Rounded Corners 38">
            <a:extLst>
              <a:ext uri="{FF2B5EF4-FFF2-40B4-BE49-F238E27FC236}">
                <a16:creationId xmlns:a16="http://schemas.microsoft.com/office/drawing/2014/main" id="{EAFAB1D2-78EA-2F70-5D33-61EA61A4EC66}"/>
              </a:ext>
            </a:extLst>
          </xdr:cNvPr>
          <xdr:cNvSpPr/>
        </xdr:nvSpPr>
        <xdr:spPr>
          <a:xfrm>
            <a:off x="0" y="942811"/>
            <a:ext cx="2126974" cy="822187"/>
          </a:xfrm>
          <a:prstGeom prst="roundRect">
            <a:avLst/>
          </a:prstGeom>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0" name="Rectangle: Rounded Corners 39">
            <a:extLst>
              <a:ext uri="{FF2B5EF4-FFF2-40B4-BE49-F238E27FC236}">
                <a16:creationId xmlns:a16="http://schemas.microsoft.com/office/drawing/2014/main" id="{7AA979BC-1D1B-DF00-3DAE-97B07A5589B6}"/>
              </a:ext>
            </a:extLst>
          </xdr:cNvPr>
          <xdr:cNvSpPr/>
        </xdr:nvSpPr>
        <xdr:spPr>
          <a:xfrm>
            <a:off x="0" y="934504"/>
            <a:ext cx="617792" cy="842342"/>
          </a:xfrm>
          <a:prstGeom prst="roundRect">
            <a:avLst/>
          </a:prstGeom>
          <a:solidFill>
            <a:schemeClr val="accent1"/>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1" name="TextBox 40">
            <a:extLst>
              <a:ext uri="{FF2B5EF4-FFF2-40B4-BE49-F238E27FC236}">
                <a16:creationId xmlns:a16="http://schemas.microsoft.com/office/drawing/2014/main" id="{DC310219-3862-3B71-404D-08AF4EE62821}"/>
              </a:ext>
            </a:extLst>
          </xdr:cNvPr>
          <xdr:cNvSpPr txBox="1"/>
        </xdr:nvSpPr>
        <xdr:spPr>
          <a:xfrm>
            <a:off x="806174" y="938697"/>
            <a:ext cx="1282977" cy="4728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AVERAGE</a:t>
            </a:r>
            <a:r>
              <a:rPr lang="en-IN" sz="1100" b="1" baseline="0">
                <a:solidFill>
                  <a:schemeClr val="accent1"/>
                </a:solidFill>
              </a:rPr>
              <a:t> SALES</a:t>
            </a:r>
            <a:endParaRPr lang="en-IN" sz="1100" b="1">
              <a:solidFill>
                <a:schemeClr val="accent1"/>
              </a:solidFill>
            </a:endParaRPr>
          </a:p>
        </xdr:txBody>
      </xdr:sp>
      <xdr:sp macro="" textlink="Sheet16!L8">
        <xdr:nvSpPr>
          <xdr:cNvPr id="42" name="TextBox 41">
            <a:extLst>
              <a:ext uri="{FF2B5EF4-FFF2-40B4-BE49-F238E27FC236}">
                <a16:creationId xmlns:a16="http://schemas.microsoft.com/office/drawing/2014/main" id="{D39C281C-D340-12BF-2F41-9C2ABBD49ADB}"/>
              </a:ext>
            </a:extLst>
          </xdr:cNvPr>
          <xdr:cNvSpPr txBox="1"/>
        </xdr:nvSpPr>
        <xdr:spPr>
          <a:xfrm>
            <a:off x="761720" y="1190419"/>
            <a:ext cx="1224428" cy="292442"/>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359A94-C04C-4BDB-9C32-F1EB34A26480}" type="TxLink">
              <a:rPr lang="en-US" sz="1400" b="1" i="0" u="none" strike="noStrike">
                <a:solidFill>
                  <a:schemeClr val="accent1"/>
                </a:solidFill>
                <a:latin typeface="Aptos Narrow"/>
              </a:rPr>
              <a:pPr/>
              <a:t> 2,58,890.00 </a:t>
            </a:fld>
            <a:endParaRPr lang="en-IN" sz="1600" b="1">
              <a:solidFill>
                <a:schemeClr val="accent1"/>
              </a:solidFill>
            </a:endParaRPr>
          </a:p>
        </xdr:txBody>
      </xdr:sp>
    </xdr:grpSp>
    <xdr:clientData/>
  </xdr:twoCellAnchor>
  <xdr:twoCellAnchor>
    <xdr:from>
      <xdr:col>7</xdr:col>
      <xdr:colOff>110435</xdr:colOff>
      <xdr:row>4</xdr:row>
      <xdr:rowOff>154608</xdr:rowOff>
    </xdr:from>
    <xdr:to>
      <xdr:col>10</xdr:col>
      <xdr:colOff>415235</xdr:colOff>
      <xdr:row>9</xdr:row>
      <xdr:rowOff>54063</xdr:rowOff>
    </xdr:to>
    <xdr:grpSp>
      <xdr:nvGrpSpPr>
        <xdr:cNvPr id="43" name="Group 42">
          <a:extLst>
            <a:ext uri="{FF2B5EF4-FFF2-40B4-BE49-F238E27FC236}">
              <a16:creationId xmlns:a16="http://schemas.microsoft.com/office/drawing/2014/main" id="{6193449A-1786-153D-8F9D-8A7874275D4D}"/>
            </a:ext>
          </a:extLst>
        </xdr:cNvPr>
        <xdr:cNvGrpSpPr/>
      </xdr:nvGrpSpPr>
      <xdr:grpSpPr>
        <a:xfrm>
          <a:off x="4377635" y="865808"/>
          <a:ext cx="2133600" cy="826555"/>
          <a:chOff x="0" y="905565"/>
          <a:chExt cx="2126974" cy="871281"/>
        </a:xfrm>
      </xdr:grpSpPr>
      <xdr:sp macro="" textlink="">
        <xdr:nvSpPr>
          <xdr:cNvPr id="44" name="Rectangle: Rounded Corners 43">
            <a:extLst>
              <a:ext uri="{FF2B5EF4-FFF2-40B4-BE49-F238E27FC236}">
                <a16:creationId xmlns:a16="http://schemas.microsoft.com/office/drawing/2014/main" id="{4A0B70E6-F892-1AC9-7BE8-397C375C7211}"/>
              </a:ext>
            </a:extLst>
          </xdr:cNvPr>
          <xdr:cNvSpPr/>
        </xdr:nvSpPr>
        <xdr:spPr>
          <a:xfrm>
            <a:off x="0" y="942811"/>
            <a:ext cx="2126974" cy="822187"/>
          </a:xfrm>
          <a:prstGeom prst="roundRect">
            <a:avLst/>
          </a:prstGeom>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5" name="Rectangle: Rounded Corners 44">
            <a:extLst>
              <a:ext uri="{FF2B5EF4-FFF2-40B4-BE49-F238E27FC236}">
                <a16:creationId xmlns:a16="http://schemas.microsoft.com/office/drawing/2014/main" id="{705A2F18-4FB6-221F-07CE-F9601584D3AA}"/>
              </a:ext>
            </a:extLst>
          </xdr:cNvPr>
          <xdr:cNvSpPr/>
        </xdr:nvSpPr>
        <xdr:spPr>
          <a:xfrm>
            <a:off x="0" y="934504"/>
            <a:ext cx="617792" cy="842342"/>
          </a:xfrm>
          <a:prstGeom prst="roundRect">
            <a:avLst/>
          </a:prstGeom>
          <a:solidFill>
            <a:schemeClr val="accent1"/>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6628C906-918A-E1D3-804F-1358FE610B32}"/>
              </a:ext>
            </a:extLst>
          </xdr:cNvPr>
          <xdr:cNvSpPr txBox="1"/>
        </xdr:nvSpPr>
        <xdr:spPr>
          <a:xfrm>
            <a:off x="762000" y="905565"/>
            <a:ext cx="1327151" cy="5059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UNITS</a:t>
            </a:r>
            <a:r>
              <a:rPr lang="en-IN" sz="1100" b="1" baseline="0">
                <a:solidFill>
                  <a:schemeClr val="accent1"/>
                </a:solidFill>
              </a:rPr>
              <a:t> SOLD</a:t>
            </a:r>
            <a:endParaRPr lang="en-IN" sz="1100" b="1">
              <a:solidFill>
                <a:schemeClr val="accent1"/>
              </a:solidFill>
            </a:endParaRPr>
          </a:p>
        </xdr:txBody>
      </xdr:sp>
      <xdr:sp macro="" textlink="Sheet16!L4">
        <xdr:nvSpPr>
          <xdr:cNvPr id="47" name="TextBox 46">
            <a:extLst>
              <a:ext uri="{FF2B5EF4-FFF2-40B4-BE49-F238E27FC236}">
                <a16:creationId xmlns:a16="http://schemas.microsoft.com/office/drawing/2014/main" id="{7DC208E1-B86A-D185-7956-A829CD4441EE}"/>
              </a:ext>
            </a:extLst>
          </xdr:cNvPr>
          <xdr:cNvSpPr txBox="1"/>
        </xdr:nvSpPr>
        <xdr:spPr>
          <a:xfrm>
            <a:off x="761720" y="1190419"/>
            <a:ext cx="1224428" cy="292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B0621A-D7AC-4ED4-9E58-863422EEAB09}" type="TxLink">
              <a:rPr lang="en-US" sz="1100" b="1" i="0" u="none" strike="noStrike">
                <a:solidFill>
                  <a:schemeClr val="accent1"/>
                </a:solidFill>
                <a:latin typeface="Aptos Narrow"/>
              </a:rPr>
              <a:pPr/>
              <a:t>4705</a:t>
            </a:fld>
            <a:endParaRPr lang="en-IN" sz="1200" b="1">
              <a:solidFill>
                <a:schemeClr val="accent1"/>
              </a:solidFill>
            </a:endParaRPr>
          </a:p>
        </xdr:txBody>
      </xdr:sp>
    </xdr:grpSp>
    <xdr:clientData/>
  </xdr:twoCellAnchor>
  <xdr:twoCellAnchor>
    <xdr:from>
      <xdr:col>10</xdr:col>
      <xdr:colOff>474870</xdr:colOff>
      <xdr:row>4</xdr:row>
      <xdr:rowOff>183547</xdr:rowOff>
    </xdr:from>
    <xdr:to>
      <xdr:col>14</xdr:col>
      <xdr:colOff>172279</xdr:colOff>
      <xdr:row>9</xdr:row>
      <xdr:rowOff>54063</xdr:rowOff>
    </xdr:to>
    <xdr:grpSp>
      <xdr:nvGrpSpPr>
        <xdr:cNvPr id="48" name="Group 47">
          <a:extLst>
            <a:ext uri="{FF2B5EF4-FFF2-40B4-BE49-F238E27FC236}">
              <a16:creationId xmlns:a16="http://schemas.microsoft.com/office/drawing/2014/main" id="{E0CDE386-E7CB-2141-AD97-4D0F49B365E0}"/>
            </a:ext>
          </a:extLst>
        </xdr:cNvPr>
        <xdr:cNvGrpSpPr/>
      </xdr:nvGrpSpPr>
      <xdr:grpSpPr>
        <a:xfrm>
          <a:off x="6570870" y="894747"/>
          <a:ext cx="2135809" cy="797616"/>
          <a:chOff x="0" y="934504"/>
          <a:chExt cx="2126974" cy="842342"/>
        </a:xfrm>
      </xdr:grpSpPr>
      <xdr:sp macro="" textlink="">
        <xdr:nvSpPr>
          <xdr:cNvPr id="49" name="Rectangle: Rounded Corners 48">
            <a:extLst>
              <a:ext uri="{FF2B5EF4-FFF2-40B4-BE49-F238E27FC236}">
                <a16:creationId xmlns:a16="http://schemas.microsoft.com/office/drawing/2014/main" id="{1506FB85-C439-9901-0E9E-F8F1AEBFE807}"/>
              </a:ext>
            </a:extLst>
          </xdr:cNvPr>
          <xdr:cNvSpPr/>
        </xdr:nvSpPr>
        <xdr:spPr>
          <a:xfrm>
            <a:off x="0" y="942811"/>
            <a:ext cx="2126974" cy="822187"/>
          </a:xfrm>
          <a:prstGeom prst="roundRect">
            <a:avLst/>
          </a:prstGeom>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0" name="Rectangle: Rounded Corners 49">
            <a:extLst>
              <a:ext uri="{FF2B5EF4-FFF2-40B4-BE49-F238E27FC236}">
                <a16:creationId xmlns:a16="http://schemas.microsoft.com/office/drawing/2014/main" id="{7AD9B06F-87FE-406A-8C12-32AE29AC25ED}"/>
              </a:ext>
            </a:extLst>
          </xdr:cNvPr>
          <xdr:cNvSpPr/>
        </xdr:nvSpPr>
        <xdr:spPr>
          <a:xfrm>
            <a:off x="0" y="934504"/>
            <a:ext cx="617792" cy="842342"/>
          </a:xfrm>
          <a:prstGeom prst="roundRect">
            <a:avLst/>
          </a:prstGeom>
          <a:solidFill>
            <a:schemeClr val="accent1"/>
          </a:solidFill>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1" name="TextBox 50">
            <a:extLst>
              <a:ext uri="{FF2B5EF4-FFF2-40B4-BE49-F238E27FC236}">
                <a16:creationId xmlns:a16="http://schemas.microsoft.com/office/drawing/2014/main" id="{391964F8-163F-1ED3-0BCC-2D02BDD7C2C0}"/>
              </a:ext>
            </a:extLst>
          </xdr:cNvPr>
          <xdr:cNvSpPr txBox="1"/>
        </xdr:nvSpPr>
        <xdr:spPr>
          <a:xfrm>
            <a:off x="784088" y="971826"/>
            <a:ext cx="1305064" cy="4396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PROFIT</a:t>
            </a:r>
          </a:p>
        </xdr:txBody>
      </xdr:sp>
      <xdr:sp macro="" textlink="Sheet16!L6">
        <xdr:nvSpPr>
          <xdr:cNvPr id="52" name="TextBox 51">
            <a:extLst>
              <a:ext uri="{FF2B5EF4-FFF2-40B4-BE49-F238E27FC236}">
                <a16:creationId xmlns:a16="http://schemas.microsoft.com/office/drawing/2014/main" id="{9212A5B1-6D31-8EA2-12F1-0680AF1EEB9E}"/>
              </a:ext>
            </a:extLst>
          </xdr:cNvPr>
          <xdr:cNvSpPr txBox="1"/>
        </xdr:nvSpPr>
        <xdr:spPr>
          <a:xfrm>
            <a:off x="761720" y="1190419"/>
            <a:ext cx="1224428" cy="292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344438-6A7C-4C48-A19C-F91A1970EB28}" type="TxLink">
              <a:rPr lang="en-US" sz="1100" b="1" i="0" u="none" strike="noStrike">
                <a:solidFill>
                  <a:schemeClr val="accent1"/>
                </a:solidFill>
                <a:latin typeface="Aptos Narrow"/>
              </a:rPr>
              <a:pPr/>
              <a:t> 38,34,400.00 </a:t>
            </a:fld>
            <a:endParaRPr lang="en-IN" sz="1200" b="1">
              <a:solidFill>
                <a:schemeClr val="accent1"/>
              </a:solidFill>
            </a:endParaRPr>
          </a:p>
        </xdr:txBody>
      </xdr:sp>
    </xdr:grpSp>
    <xdr:clientData/>
  </xdr:twoCellAnchor>
  <xdr:twoCellAnchor editAs="oneCell">
    <xdr:from>
      <xdr:col>3</xdr:col>
      <xdr:colOff>389306</xdr:colOff>
      <xdr:row>5</xdr:row>
      <xdr:rowOff>139130</xdr:rowOff>
    </xdr:from>
    <xdr:to>
      <xdr:col>4</xdr:col>
      <xdr:colOff>304785</xdr:colOff>
      <xdr:row>8</xdr:row>
      <xdr:rowOff>58033</xdr:rowOff>
    </xdr:to>
    <xdr:pic>
      <xdr:nvPicPr>
        <xdr:cNvPr id="55" name="Graphic 54" descr="Coins with solid fill">
          <a:extLst>
            <a:ext uri="{FF2B5EF4-FFF2-40B4-BE49-F238E27FC236}">
              <a16:creationId xmlns:a16="http://schemas.microsoft.com/office/drawing/2014/main" id="{7F760448-7FBE-7089-2C7C-EED5CC68112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0800000" flipV="1">
          <a:off x="2203592" y="1046273"/>
          <a:ext cx="520241" cy="499474"/>
        </a:xfrm>
        <a:prstGeom prst="rect">
          <a:avLst/>
        </a:prstGeom>
      </xdr:spPr>
    </xdr:pic>
    <xdr:clientData/>
  </xdr:twoCellAnchor>
  <xdr:twoCellAnchor editAs="oneCell">
    <xdr:from>
      <xdr:col>7</xdr:col>
      <xdr:colOff>185913</xdr:colOff>
      <xdr:row>5</xdr:row>
      <xdr:rowOff>178696</xdr:rowOff>
    </xdr:from>
    <xdr:to>
      <xdr:col>8</xdr:col>
      <xdr:colOff>101392</xdr:colOff>
      <xdr:row>8</xdr:row>
      <xdr:rowOff>105219</xdr:rowOff>
    </xdr:to>
    <xdr:pic>
      <xdr:nvPicPr>
        <xdr:cNvPr id="57" name="Graphic 56" descr="List with solid fill">
          <a:extLst>
            <a:ext uri="{FF2B5EF4-FFF2-40B4-BE49-F238E27FC236}">
              <a16:creationId xmlns:a16="http://schemas.microsoft.com/office/drawing/2014/main" id="{8A59F934-A055-E1A2-C82B-09563DEC7EC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V="1">
          <a:off x="4437652" y="1117392"/>
          <a:ext cx="522870" cy="522870"/>
        </a:xfrm>
        <a:prstGeom prst="rect">
          <a:avLst/>
        </a:prstGeom>
      </xdr:spPr>
    </xdr:pic>
    <xdr:clientData/>
  </xdr:twoCellAnchor>
  <xdr:twoCellAnchor editAs="oneCell">
    <xdr:from>
      <xdr:col>0</xdr:col>
      <xdr:colOff>54568</xdr:colOff>
      <xdr:row>5</xdr:row>
      <xdr:rowOff>165149</xdr:rowOff>
    </xdr:from>
    <xdr:to>
      <xdr:col>0</xdr:col>
      <xdr:colOff>574808</xdr:colOff>
      <xdr:row>8</xdr:row>
      <xdr:rowOff>88516</xdr:rowOff>
    </xdr:to>
    <xdr:pic>
      <xdr:nvPicPr>
        <xdr:cNvPr id="59" name="Graphic 58" descr="Money with solid fill">
          <a:extLst>
            <a:ext uri="{FF2B5EF4-FFF2-40B4-BE49-F238E27FC236}">
              <a16:creationId xmlns:a16="http://schemas.microsoft.com/office/drawing/2014/main" id="{F115ACFE-91D1-0BCE-614C-114889146E9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10920000" flipV="1">
          <a:off x="54568" y="1072292"/>
          <a:ext cx="520240" cy="503938"/>
        </a:xfrm>
        <a:prstGeom prst="rect">
          <a:avLst/>
        </a:prstGeom>
      </xdr:spPr>
    </xdr:pic>
    <xdr:clientData/>
  </xdr:twoCellAnchor>
  <xdr:twoCellAnchor editAs="oneCell">
    <xdr:from>
      <xdr:col>10</xdr:col>
      <xdr:colOff>531953</xdr:colOff>
      <xdr:row>5</xdr:row>
      <xdr:rowOff>157671</xdr:rowOff>
    </xdr:from>
    <xdr:to>
      <xdr:col>11</xdr:col>
      <xdr:colOff>439255</xdr:colOff>
      <xdr:row>8</xdr:row>
      <xdr:rowOff>89164</xdr:rowOff>
    </xdr:to>
    <xdr:pic>
      <xdr:nvPicPr>
        <xdr:cNvPr id="61" name="Graphic 60" descr="Upward trend with solid fill">
          <a:extLst>
            <a:ext uri="{FF2B5EF4-FFF2-40B4-BE49-F238E27FC236}">
              <a16:creationId xmlns:a16="http://schemas.microsoft.com/office/drawing/2014/main" id="{65BF3C4C-2239-4674-7758-1E1559FAD76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5400000" flipV="1">
          <a:off x="6579572" y="1064814"/>
          <a:ext cx="512064" cy="512064"/>
        </a:xfrm>
        <a:prstGeom prst="rect">
          <a:avLst/>
        </a:prstGeom>
      </xdr:spPr>
    </xdr:pic>
    <xdr:clientData/>
  </xdr:twoCellAnchor>
  <xdr:twoCellAnchor editAs="oneCell">
    <xdr:from>
      <xdr:col>5</xdr:col>
      <xdr:colOff>357353</xdr:colOff>
      <xdr:row>0</xdr:row>
      <xdr:rowOff>73134</xdr:rowOff>
    </xdr:from>
    <xdr:to>
      <xdr:col>6</xdr:col>
      <xdr:colOff>467753</xdr:colOff>
      <xdr:row>4</xdr:row>
      <xdr:rowOff>81934</xdr:rowOff>
    </xdr:to>
    <xdr:pic>
      <xdr:nvPicPr>
        <xdr:cNvPr id="64" name="Graphic 63" descr="Database with solid fill">
          <a:extLst>
            <a:ext uri="{FF2B5EF4-FFF2-40B4-BE49-F238E27FC236}">
              <a16:creationId xmlns:a16="http://schemas.microsoft.com/office/drawing/2014/main" id="{7BBB96C3-D3BA-82EE-7E53-E9B9056BCE5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22870" y="73134"/>
          <a:ext cx="723504" cy="744524"/>
        </a:xfrm>
        <a:prstGeom prst="rect">
          <a:avLst/>
        </a:prstGeom>
        <a:effectLst>
          <a:outerShdw blurRad="50800" dist="38100" dir="2700000" algn="tl" rotWithShape="0">
            <a:prstClr val="black">
              <a:alpha val="40000"/>
            </a:prstClr>
          </a:outerShdw>
        </a:effectLst>
      </xdr:spPr>
    </xdr:pic>
    <xdr:clientData/>
  </xdr:twoCellAnchor>
  <xdr:twoCellAnchor editAs="oneCell">
    <xdr:from>
      <xdr:col>14</xdr:col>
      <xdr:colOff>215900</xdr:colOff>
      <xdr:row>5</xdr:row>
      <xdr:rowOff>38100</xdr:rowOff>
    </xdr:from>
    <xdr:to>
      <xdr:col>18</xdr:col>
      <xdr:colOff>558800</xdr:colOff>
      <xdr:row>8</xdr:row>
      <xdr:rowOff>169119</xdr:rowOff>
    </xdr:to>
    <mc:AlternateContent xmlns:mc="http://schemas.openxmlformats.org/markup-compatibility/2006" xmlns:a14="http://schemas.microsoft.com/office/drawing/2010/main">
      <mc:Choice Requires="a14">
        <xdr:graphicFrame macro="">
          <xdr:nvGraphicFramePr>
            <xdr:cNvPr id="65" name="Region 1">
              <a:extLst>
                <a:ext uri="{FF2B5EF4-FFF2-40B4-BE49-F238E27FC236}">
                  <a16:creationId xmlns:a16="http://schemas.microsoft.com/office/drawing/2014/main" id="{92D77408-4F73-4191-8DC3-92C5307ED6F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701809" y="947305"/>
              <a:ext cx="2767446" cy="719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121228</xdr:rowOff>
    </xdr:from>
    <xdr:to>
      <xdr:col>3</xdr:col>
      <xdr:colOff>0</xdr:colOff>
      <xdr:row>42</xdr:row>
      <xdr:rowOff>51954</xdr:rowOff>
    </xdr:to>
    <mc:AlternateContent xmlns:mc="http://schemas.openxmlformats.org/markup-compatibility/2006" xmlns:a14="http://schemas.microsoft.com/office/drawing/2010/main">
      <mc:Choice Requires="a14">
        <xdr:graphicFrame macro="">
          <xdr:nvGraphicFramePr>
            <xdr:cNvPr id="66" name="Sales Person 1">
              <a:extLst>
                <a:ext uri="{FF2B5EF4-FFF2-40B4-BE49-F238E27FC236}">
                  <a16:creationId xmlns:a16="http://schemas.microsoft.com/office/drawing/2014/main" id="{57DB40B6-BB88-40C8-994B-D4AFFE82FD8E}"/>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0" y="4528705"/>
              <a:ext cx="1818409" cy="3203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8660</xdr:colOff>
      <xdr:row>9</xdr:row>
      <xdr:rowOff>129885</xdr:rowOff>
    </xdr:from>
    <xdr:to>
      <xdr:col>3</xdr:col>
      <xdr:colOff>8660</xdr:colOff>
      <xdr:row>24</xdr:row>
      <xdr:rowOff>40120</xdr:rowOff>
    </xdr:to>
    <mc:AlternateContent xmlns:mc="http://schemas.openxmlformats.org/markup-compatibility/2006" xmlns:a14="http://schemas.microsoft.com/office/drawing/2010/main">
      <mc:Choice Requires="a14">
        <xdr:graphicFrame macro="">
          <xdr:nvGraphicFramePr>
            <xdr:cNvPr id="67" name="Product 1">
              <a:extLst>
                <a:ext uri="{FF2B5EF4-FFF2-40B4-BE49-F238E27FC236}">
                  <a16:creationId xmlns:a16="http://schemas.microsoft.com/office/drawing/2014/main" id="{42395AFC-F42A-449C-BB4A-17A33DCC0CF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660" y="1809749"/>
              <a:ext cx="1818409" cy="2637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51956</xdr:colOff>
      <xdr:row>9</xdr:row>
      <xdr:rowOff>138544</xdr:rowOff>
    </xdr:from>
    <xdr:to>
      <xdr:col>11</xdr:col>
      <xdr:colOff>536864</xdr:colOff>
      <xdr:row>28</xdr:row>
      <xdr:rowOff>155863</xdr:rowOff>
    </xdr:to>
    <xdr:sp macro="" textlink="">
      <xdr:nvSpPr>
        <xdr:cNvPr id="70" name="Rectangle: Rounded Corners 69">
          <a:extLst>
            <a:ext uri="{FF2B5EF4-FFF2-40B4-BE49-F238E27FC236}">
              <a16:creationId xmlns:a16="http://schemas.microsoft.com/office/drawing/2014/main" id="{BF4EACA8-01FB-ED42-AEA2-0E93F5D01EAB}"/>
            </a:ext>
          </a:extLst>
        </xdr:cNvPr>
        <xdr:cNvSpPr/>
      </xdr:nvSpPr>
      <xdr:spPr>
        <a:xfrm>
          <a:off x="1870365" y="1818408"/>
          <a:ext cx="5333999" cy="3472296"/>
        </a:xfrm>
        <a:prstGeom prst="roundRect">
          <a:avLst/>
        </a:prstGeom>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3600" b="1">
            <a:solidFill>
              <a:schemeClr val="accent1"/>
            </a:solidFill>
          </a:endParaRPr>
        </a:p>
      </xdr:txBody>
    </xdr:sp>
    <xdr:clientData/>
  </xdr:twoCellAnchor>
  <xdr:twoCellAnchor>
    <xdr:from>
      <xdr:col>3</xdr:col>
      <xdr:colOff>381001</xdr:colOff>
      <xdr:row>11</xdr:row>
      <xdr:rowOff>8660</xdr:rowOff>
    </xdr:from>
    <xdr:to>
      <xdr:col>8</xdr:col>
      <xdr:colOff>77933</xdr:colOff>
      <xdr:row>13</xdr:row>
      <xdr:rowOff>17318</xdr:rowOff>
    </xdr:to>
    <xdr:sp macro="" textlink="">
      <xdr:nvSpPr>
        <xdr:cNvPr id="71" name="TextBox 70">
          <a:extLst>
            <a:ext uri="{FF2B5EF4-FFF2-40B4-BE49-F238E27FC236}">
              <a16:creationId xmlns:a16="http://schemas.microsoft.com/office/drawing/2014/main" id="{6C1C9537-03BC-F8C2-2093-3741204D912A}"/>
            </a:ext>
          </a:extLst>
        </xdr:cNvPr>
        <xdr:cNvSpPr txBox="1"/>
      </xdr:nvSpPr>
      <xdr:spPr>
        <a:xfrm>
          <a:off x="2199410" y="2052205"/>
          <a:ext cx="2727614" cy="3723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solidFill>
                  <a:schemeClr val="accent1"/>
                </a:solidFill>
              </a:ln>
              <a:solidFill>
                <a:schemeClr val="accent1"/>
              </a:solidFill>
            </a:rPr>
            <a:t>UNIT</a:t>
          </a:r>
          <a:r>
            <a:rPr lang="en-IN" sz="1100" baseline="0">
              <a:ln>
                <a:solidFill>
                  <a:schemeClr val="accent1"/>
                </a:solidFill>
              </a:ln>
              <a:solidFill>
                <a:schemeClr val="accent1"/>
              </a:solidFill>
            </a:rPr>
            <a:t> SALE BY PRODUCT</a:t>
          </a:r>
          <a:endParaRPr lang="en-IN" sz="1100">
            <a:ln>
              <a:solidFill>
                <a:schemeClr val="accent1"/>
              </a:solidFill>
            </a:ln>
            <a:solidFill>
              <a:schemeClr val="accent1"/>
            </a:solidFill>
          </a:endParaRPr>
        </a:p>
      </xdr:txBody>
    </xdr:sp>
    <xdr:clientData/>
  </xdr:twoCellAnchor>
  <xdr:twoCellAnchor>
    <xdr:from>
      <xdr:col>3</xdr:col>
      <xdr:colOff>441615</xdr:colOff>
      <xdr:row>12</xdr:row>
      <xdr:rowOff>129886</xdr:rowOff>
    </xdr:from>
    <xdr:to>
      <xdr:col>11</xdr:col>
      <xdr:colOff>116347</xdr:colOff>
      <xdr:row>27</xdr:row>
      <xdr:rowOff>168077</xdr:rowOff>
    </xdr:to>
    <xdr:graphicFrame macro="">
      <xdr:nvGraphicFramePr>
        <xdr:cNvPr id="72" name="Chart 71">
          <a:extLst>
            <a:ext uri="{FF2B5EF4-FFF2-40B4-BE49-F238E27FC236}">
              <a16:creationId xmlns:a16="http://schemas.microsoft.com/office/drawing/2014/main" id="{EC02F21D-2748-4E97-8AF7-135C77A62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597477</xdr:colOff>
      <xdr:row>10</xdr:row>
      <xdr:rowOff>8659</xdr:rowOff>
    </xdr:from>
    <xdr:to>
      <xdr:col>22</xdr:col>
      <xdr:colOff>26275</xdr:colOff>
      <xdr:row>29</xdr:row>
      <xdr:rowOff>8658</xdr:rowOff>
    </xdr:to>
    <xdr:sp macro="" textlink="">
      <xdr:nvSpPr>
        <xdr:cNvPr id="80" name="Rectangle: Rounded Corners 79">
          <a:extLst>
            <a:ext uri="{FF2B5EF4-FFF2-40B4-BE49-F238E27FC236}">
              <a16:creationId xmlns:a16="http://schemas.microsoft.com/office/drawing/2014/main" id="{E8D22D4B-988E-7478-C88A-80E65160ACA0}"/>
            </a:ext>
          </a:extLst>
        </xdr:cNvPr>
        <xdr:cNvSpPr/>
      </xdr:nvSpPr>
      <xdr:spPr>
        <a:xfrm>
          <a:off x="7245270" y="1887383"/>
          <a:ext cx="6076591" cy="3494689"/>
        </a:xfrm>
        <a:prstGeom prst="roundRect">
          <a:avLst/>
        </a:prstGeom>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3600" b="1">
            <a:solidFill>
              <a:schemeClr val="accent1"/>
            </a:solidFill>
          </a:endParaRPr>
        </a:p>
      </xdr:txBody>
    </xdr:sp>
    <xdr:clientData/>
  </xdr:twoCellAnchor>
  <xdr:twoCellAnchor>
    <xdr:from>
      <xdr:col>12</xdr:col>
      <xdr:colOff>225136</xdr:colOff>
      <xdr:row>11</xdr:row>
      <xdr:rowOff>34638</xdr:rowOff>
    </xdr:from>
    <xdr:to>
      <xdr:col>15</xdr:col>
      <xdr:colOff>233796</xdr:colOff>
      <xdr:row>12</xdr:row>
      <xdr:rowOff>60615</xdr:rowOff>
    </xdr:to>
    <xdr:sp macro="" textlink="">
      <xdr:nvSpPr>
        <xdr:cNvPr id="82" name="TextBox 81">
          <a:extLst>
            <a:ext uri="{FF2B5EF4-FFF2-40B4-BE49-F238E27FC236}">
              <a16:creationId xmlns:a16="http://schemas.microsoft.com/office/drawing/2014/main" id="{57E81EED-1FBE-6C38-1CC4-A029026E04E4}"/>
            </a:ext>
          </a:extLst>
        </xdr:cNvPr>
        <xdr:cNvSpPr txBox="1"/>
      </xdr:nvSpPr>
      <xdr:spPr>
        <a:xfrm>
          <a:off x="7498772" y="2078183"/>
          <a:ext cx="1827069" cy="207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TOTAL SALES BY REGION</a:t>
          </a:r>
        </a:p>
      </xdr:txBody>
    </xdr:sp>
    <xdr:clientData/>
  </xdr:twoCellAnchor>
  <xdr:twoCellAnchor>
    <xdr:from>
      <xdr:col>3</xdr:col>
      <xdr:colOff>86591</xdr:colOff>
      <xdr:row>29</xdr:row>
      <xdr:rowOff>77930</xdr:rowOff>
    </xdr:from>
    <xdr:to>
      <xdr:col>11</xdr:col>
      <xdr:colOff>571499</xdr:colOff>
      <xdr:row>48</xdr:row>
      <xdr:rowOff>95249</xdr:rowOff>
    </xdr:to>
    <xdr:sp macro="" textlink="">
      <xdr:nvSpPr>
        <xdr:cNvPr id="83" name="Rectangle: Rounded Corners 82">
          <a:extLst>
            <a:ext uri="{FF2B5EF4-FFF2-40B4-BE49-F238E27FC236}">
              <a16:creationId xmlns:a16="http://schemas.microsoft.com/office/drawing/2014/main" id="{2BF15D1A-290D-67ED-2686-87BC9AA4DC83}"/>
            </a:ext>
          </a:extLst>
        </xdr:cNvPr>
        <xdr:cNvSpPr/>
      </xdr:nvSpPr>
      <xdr:spPr>
        <a:xfrm>
          <a:off x="1905000" y="5394612"/>
          <a:ext cx="5333999" cy="3472296"/>
        </a:xfrm>
        <a:prstGeom prst="roundRect">
          <a:avLst/>
        </a:prstGeom>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3600" b="1">
            <a:solidFill>
              <a:schemeClr val="accent1"/>
            </a:solidFill>
          </a:endParaRPr>
        </a:p>
      </xdr:txBody>
    </xdr:sp>
    <xdr:clientData/>
  </xdr:twoCellAnchor>
  <xdr:twoCellAnchor>
    <xdr:from>
      <xdr:col>3</xdr:col>
      <xdr:colOff>337704</xdr:colOff>
      <xdr:row>30</xdr:row>
      <xdr:rowOff>129886</xdr:rowOff>
    </xdr:from>
    <xdr:to>
      <xdr:col>7</xdr:col>
      <xdr:colOff>199158</xdr:colOff>
      <xdr:row>32</xdr:row>
      <xdr:rowOff>25977</xdr:rowOff>
    </xdr:to>
    <xdr:sp macro="" textlink="">
      <xdr:nvSpPr>
        <xdr:cNvPr id="84" name="TextBox 83">
          <a:extLst>
            <a:ext uri="{FF2B5EF4-FFF2-40B4-BE49-F238E27FC236}">
              <a16:creationId xmlns:a16="http://schemas.microsoft.com/office/drawing/2014/main" id="{20A38272-9228-CF8D-B1A6-0752E010BD2D}"/>
            </a:ext>
          </a:extLst>
        </xdr:cNvPr>
        <xdr:cNvSpPr txBox="1"/>
      </xdr:nvSpPr>
      <xdr:spPr>
        <a:xfrm>
          <a:off x="2156113" y="5628409"/>
          <a:ext cx="2286000" cy="2597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TOTAL SALES BY PRODUCT</a:t>
          </a:r>
        </a:p>
      </xdr:txBody>
    </xdr:sp>
    <xdr:clientData/>
  </xdr:twoCellAnchor>
  <xdr:twoCellAnchor>
    <xdr:from>
      <xdr:col>12</xdr:col>
      <xdr:colOff>25976</xdr:colOff>
      <xdr:row>29</xdr:row>
      <xdr:rowOff>69271</xdr:rowOff>
    </xdr:from>
    <xdr:to>
      <xdr:col>22</xdr:col>
      <xdr:colOff>52551</xdr:colOff>
      <xdr:row>48</xdr:row>
      <xdr:rowOff>77932</xdr:rowOff>
    </xdr:to>
    <xdr:sp macro="" textlink="">
      <xdr:nvSpPr>
        <xdr:cNvPr id="87" name="Rectangle: Rounded Corners 86">
          <a:extLst>
            <a:ext uri="{FF2B5EF4-FFF2-40B4-BE49-F238E27FC236}">
              <a16:creationId xmlns:a16="http://schemas.microsoft.com/office/drawing/2014/main" id="{C09C3E4F-9277-D030-F5C6-C61F03A1E1D0}"/>
            </a:ext>
          </a:extLst>
        </xdr:cNvPr>
        <xdr:cNvSpPr/>
      </xdr:nvSpPr>
      <xdr:spPr>
        <a:xfrm>
          <a:off x="7278114" y="5442685"/>
          <a:ext cx="6070023" cy="3503350"/>
        </a:xfrm>
        <a:prstGeom prst="roundRect">
          <a:avLst/>
        </a:prstGeom>
        <a:ln>
          <a:no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3600" b="1">
            <a:solidFill>
              <a:schemeClr val="accent1"/>
            </a:solidFill>
          </a:endParaRPr>
        </a:p>
      </xdr:txBody>
    </xdr:sp>
    <xdr:clientData/>
  </xdr:twoCellAnchor>
  <xdr:twoCellAnchor>
    <xdr:from>
      <xdr:col>12</xdr:col>
      <xdr:colOff>129888</xdr:colOff>
      <xdr:row>30</xdr:row>
      <xdr:rowOff>77933</xdr:rowOff>
    </xdr:from>
    <xdr:to>
      <xdr:col>16</xdr:col>
      <xdr:colOff>268432</xdr:colOff>
      <xdr:row>32</xdr:row>
      <xdr:rowOff>1</xdr:rowOff>
    </xdr:to>
    <xdr:sp macro="" textlink="">
      <xdr:nvSpPr>
        <xdr:cNvPr id="88" name="TextBox 87">
          <a:extLst>
            <a:ext uri="{FF2B5EF4-FFF2-40B4-BE49-F238E27FC236}">
              <a16:creationId xmlns:a16="http://schemas.microsoft.com/office/drawing/2014/main" id="{3DB34653-71E9-6922-4DC6-34CDDC520E9A}"/>
            </a:ext>
          </a:extLst>
        </xdr:cNvPr>
        <xdr:cNvSpPr txBox="1"/>
      </xdr:nvSpPr>
      <xdr:spPr>
        <a:xfrm>
          <a:off x="7403524" y="5576456"/>
          <a:ext cx="256309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TOTAL SALES BY SALES PERSON</a:t>
          </a:r>
        </a:p>
      </xdr:txBody>
    </xdr:sp>
    <xdr:clientData/>
  </xdr:twoCellAnchor>
  <xdr:twoCellAnchor>
    <xdr:from>
      <xdr:col>12</xdr:col>
      <xdr:colOff>112570</xdr:colOff>
      <xdr:row>12</xdr:row>
      <xdr:rowOff>69271</xdr:rowOff>
    </xdr:from>
    <xdr:to>
      <xdr:col>20</xdr:col>
      <xdr:colOff>416014</xdr:colOff>
      <xdr:row>27</xdr:row>
      <xdr:rowOff>119040</xdr:rowOff>
    </xdr:to>
    <xdr:graphicFrame macro="">
      <xdr:nvGraphicFramePr>
        <xdr:cNvPr id="90" name="Chart 89">
          <a:extLst>
            <a:ext uri="{FF2B5EF4-FFF2-40B4-BE49-F238E27FC236}">
              <a16:creationId xmlns:a16="http://schemas.microsoft.com/office/drawing/2014/main" id="{49F67B00-9F4F-495F-BB42-C68A4FA35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432955</xdr:colOff>
      <xdr:row>31</xdr:row>
      <xdr:rowOff>181839</xdr:rowOff>
    </xdr:from>
    <xdr:to>
      <xdr:col>11</xdr:col>
      <xdr:colOff>176783</xdr:colOff>
      <xdr:row>47</xdr:row>
      <xdr:rowOff>114062</xdr:rowOff>
    </xdr:to>
    <xdr:graphicFrame macro="">
      <xdr:nvGraphicFramePr>
        <xdr:cNvPr id="2" name="Chart 1">
          <a:extLst>
            <a:ext uri="{FF2B5EF4-FFF2-40B4-BE49-F238E27FC236}">
              <a16:creationId xmlns:a16="http://schemas.microsoft.com/office/drawing/2014/main" id="{CF27EBFA-864D-4375-A45F-8C51193D2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225136</xdr:colOff>
      <xdr:row>31</xdr:row>
      <xdr:rowOff>147203</xdr:rowOff>
    </xdr:from>
    <xdr:to>
      <xdr:col>21</xdr:col>
      <xdr:colOff>341587</xdr:colOff>
      <xdr:row>47</xdr:row>
      <xdr:rowOff>0</xdr:rowOff>
    </xdr:to>
    <xdr:graphicFrame macro="">
      <xdr:nvGraphicFramePr>
        <xdr:cNvPr id="3" name="Chart 2">
          <a:extLst>
            <a:ext uri="{FF2B5EF4-FFF2-40B4-BE49-F238E27FC236}">
              <a16:creationId xmlns:a16="http://schemas.microsoft.com/office/drawing/2014/main" id="{6553B1CC-EF4F-4A1F-AA22-CC13AC263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rohtih.csv.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h IPRR" refreshedDate="46148.856343981482" createdVersion="8" refreshedVersion="8" minRefreshableVersion="3" recordCount="50" xr:uid="{1A186832-C761-44DE-9C56-CE20B0033940}">
  <cacheSource type="worksheet">
    <worksheetSource ref="A1:T51" sheet="Sheet11" r:id="rId2"/>
  </cacheSource>
  <cacheFields count="20">
    <cacheField name="index" numFmtId="0">
      <sharedItems containsSemiMixedTypes="0" containsString="0" containsNumber="1" containsInteger="1" minValue="1" maxValue="50"/>
    </cacheField>
    <cacheField name="order id" numFmtId="0">
      <sharedItems count="35">
        <s v="171-4567899-3032"/>
        <s v="405-2183842-222"/>
        <s v="171-1641533-892"/>
        <s v="404-7490807-630"/>
        <s v="403-9293516-457"/>
        <s v="407-1988130-036"/>
        <s v="171-5561216-339"/>
        <s v="408-2935263-293"/>
        <s v="404-2648970-904"/>
        <s v="408-0265357-493"/>
        <s v="403-9268847-729"/>
        <s v="407-0442660-273"/>
        <s v="404-0215489-9042"/>
        <s v="404-4567888-9065"/>
        <s v="171-1641533-893"/>
        <s v="404-7490807-631"/>
        <s v="403-9293516-458"/>
        <s v="407-1988130-037"/>
        <s v="171-5561216-340"/>
        <s v="408-2935263-294"/>
        <s v="404-2648970-905"/>
        <s v="408-0265357-494"/>
        <s v="403-9268847-730"/>
        <s v="407-0442660-274"/>
        <s v="404-0215489-9043"/>
        <s v="403-8765434-678"/>
        <s v="171-1641533-894"/>
        <s v="404-7490807-632"/>
        <s v="403-9293516-459"/>
        <s v="407-1988130-038"/>
        <s v="171-1029312-304"/>
        <s v="405-2183842-223"/>
        <s v="404-4567888-9066"/>
        <s v="171-5561216-341"/>
        <s v="408-2935263-295"/>
      </sharedItems>
    </cacheField>
    <cacheField name="cust id" numFmtId="0">
      <sharedItems containsSemiMixedTypes="0" containsString="0" containsNumber="1" containsInteger="1" minValue="21578" maxValue="789546213"/>
    </cacheField>
    <cacheField name="gender" numFmtId="0">
      <sharedItems/>
    </cacheField>
    <cacheField name="age" numFmtId="0">
      <sharedItems containsSemiMixedTypes="0" containsString="0" containsNumber="1" containsInteger="1" minValue="12" maxValue="90"/>
    </cacheField>
    <cacheField name="age group" numFmtId="0">
      <sharedItems/>
    </cacheField>
    <cacheField name="date" numFmtId="14">
      <sharedItems containsSemiMixedTypes="0" containsNonDate="0" containsDate="1" containsString="0" minDate="2022-12-04T00:00:00" maxDate="2022-12-05T00:00:00"/>
    </cacheField>
    <cacheField name="month" numFmtId="14">
      <sharedItems count="1">
        <s v="December"/>
      </sharedItems>
    </cacheField>
    <cacheField name="status" numFmtId="0">
      <sharedItems/>
    </cacheField>
    <cacheField name="channel" numFmtId="0">
      <sharedItems/>
    </cacheField>
    <cacheField name="sku" numFmtId="0">
      <sharedItems/>
    </cacheField>
    <cacheField name="category" numFmtId="0">
      <sharedItems containsBlank="1"/>
    </cacheField>
    <cacheField name="size " numFmtId="0">
      <sharedItems/>
    </cacheField>
    <cacheField name="qty" numFmtId="0">
      <sharedItems containsSemiMixedTypes="0" containsString="0" containsNumber="1" containsInteger="1" minValue="1" maxValue="1"/>
    </cacheField>
    <cacheField name="currncy" numFmtId="0">
      <sharedItems/>
    </cacheField>
    <cacheField name="ammount" numFmtId="0">
      <sharedItems containsSemiMixedTypes="0" containsString="0" containsNumber="1" containsInteger="1" minValue="123" maxValue="987" count="39">
        <n v="356"/>
        <n v="236"/>
        <n v="254"/>
        <n v="654"/>
        <n v="789"/>
        <n v="541"/>
        <n v="145"/>
        <n v="456"/>
        <n v="123"/>
        <n v="321"/>
        <n v="658"/>
        <n v="159"/>
        <n v="357"/>
        <n v="249"/>
        <n v="368"/>
        <n v="478"/>
        <n v="526"/>
        <n v="863"/>
        <n v="987"/>
        <n v="741"/>
        <n v="486"/>
        <n v="426"/>
        <n v="984"/>
        <n v="621"/>
        <n v="761"/>
        <n v="931"/>
        <n v="827"/>
        <n v="394"/>
        <n v="496"/>
        <n v="176"/>
        <n v="167"/>
        <n v="943"/>
        <n v="864"/>
        <n v="269"/>
        <n v="235"/>
        <n v="487"/>
        <n v="896"/>
        <n v="569"/>
        <n v="852"/>
      </sharedItems>
    </cacheField>
    <cacheField name="ship city" numFmtId="0">
      <sharedItems/>
    </cacheField>
    <cacheField name="SHIP CITY2" numFmtId="0">
      <sharedItems/>
    </cacheField>
    <cacheField name="ship postal code" numFmtId="0">
      <sharedItems containsSemiMixedTypes="0" containsString="0" containsNumber="1" minValue="122001" maxValue="1760456.0329670301"/>
    </cacheField>
    <cacheField name="ship count"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h IPRR" refreshedDate="46149.521650578703" createdVersion="8" refreshedVersion="8" minRefreshableVersion="3" recordCount="50" xr:uid="{013A8EF0-F4C0-4597-9172-A7D274B27871}">
  <cacheSource type="worksheet">
    <worksheetSource name="Table1"/>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ount="40">
        <n v="84"/>
        <n v="128"/>
        <n v="136"/>
        <n v="91"/>
        <n v="110"/>
        <n v="51"/>
        <n v="78"/>
        <n v="146"/>
        <n v="101"/>
        <n v="52"/>
        <n v="55"/>
        <n v="137"/>
        <n v="96"/>
        <n v="76"/>
        <n v="145"/>
        <n v="83"/>
        <n v="108"/>
        <n v="144"/>
        <n v="92"/>
        <n v="71"/>
        <n v="103"/>
        <n v="93"/>
        <n v="143"/>
        <n v="99"/>
        <n v="120"/>
        <n v="66"/>
        <n v="88"/>
        <n v="127"/>
        <n v="67"/>
        <n v="149"/>
        <n v="104"/>
        <n v="57"/>
        <n v="90"/>
        <n v="69"/>
        <n v="59"/>
        <n v="109"/>
        <n v="61"/>
        <n v="130"/>
        <n v="60"/>
        <n v="73"/>
      </sharedItems>
    </cacheField>
    <cacheField name="Unit Price" numFmtId="44">
      <sharedItems containsSemiMixedTypes="0" containsString="0" containsNumber="1" containsInteger="1" minValue="600" maxValue="10000"/>
    </cacheField>
    <cacheField name="Cost of Goods" numFmtId="44">
      <sharedItems containsSemiMixedTypes="0" containsString="0" containsNumber="1" containsInteger="1" minValue="400" maxValue="7000"/>
    </cacheField>
    <cacheField name="Total Sales" numFmtId="44">
      <sharedItems containsSemiMixedTypes="0" containsString="0" containsNumber="1" containsInteger="1" minValue="34200" maxValue="1270000"/>
    </cacheField>
    <cacheField name="profit" numFmtId="4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835260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x v="0"/>
    <n v="1029312"/>
    <s v="women"/>
    <n v="28"/>
    <s v="TEEN"/>
    <d v="2022-12-04T00:00:00"/>
    <x v="0"/>
    <s v="delivered"/>
    <s v="myntra"/>
    <s v="JNE1233-BLUE-KR-031-XXL"/>
    <s v="kurta"/>
    <s v="xxl"/>
    <n v="1"/>
    <s v="INR"/>
    <x v="0"/>
    <s v="MOHALI"/>
    <s v="PUNJAB"/>
    <n v="140301"/>
    <s v="IN"/>
  </r>
  <r>
    <n v="2"/>
    <x v="1"/>
    <n v="2183842"/>
    <s v="women"/>
    <n v="29"/>
    <s v="TEEN"/>
    <d v="2022-12-04T00:00:00"/>
    <x v="0"/>
    <s v="delivered"/>
    <s v="ajio"/>
    <s v="SET414-KR-NP-L"/>
    <s v="set"/>
    <s v="l"/>
    <n v="1"/>
    <s v="INR"/>
    <x v="1"/>
    <s v="GURUGRAM"/>
    <s v="HARYANA"/>
    <n v="122002"/>
    <s v="IN"/>
  </r>
  <r>
    <n v="3"/>
    <x v="2"/>
    <n v="1641533"/>
    <s v="women"/>
    <n v="23"/>
    <s v="TEEN"/>
    <d v="2022-12-04T00:00:00"/>
    <x v="0"/>
    <s v="delivered"/>
    <s v="myntra"/>
    <s v="SET261-KR-PP-S"/>
    <s v="set"/>
    <s v="s"/>
    <n v="1"/>
    <s v="INR"/>
    <x v="2"/>
    <s v="KOLKATA"/>
    <s v="WEST BENGAL"/>
    <n v="700029"/>
    <s v="IN"/>
  </r>
  <r>
    <n v="4"/>
    <x v="3"/>
    <n v="7490807"/>
    <s v="women"/>
    <n v="56"/>
    <s v="SENIOR"/>
    <d v="2022-12-04T00:00:00"/>
    <x v="0"/>
    <s v="delivered"/>
    <s v="amazon"/>
    <s v="JNE210-KR-PP-M"/>
    <s v="set"/>
    <s v="m"/>
    <n v="1"/>
    <s v="INR"/>
    <x v="1"/>
    <s v="THANJAVUR"/>
    <s v="TAMIL NADU"/>
    <n v="613007"/>
    <s v="IN"/>
  </r>
  <r>
    <n v="5"/>
    <x v="4"/>
    <n v="9293516"/>
    <s v="men"/>
    <n v="45"/>
    <s v="ADULT"/>
    <d v="2022-12-04T00:00:00"/>
    <x v="0"/>
    <s v="delivered"/>
    <s v="flipkart"/>
    <s v="JNE2294-KR-A-XXL"/>
    <s v="kurta"/>
    <s v="xxl"/>
    <n v="1"/>
    <s v="INR"/>
    <x v="3"/>
    <s v="GURUGRAM"/>
    <s v="HARYANA"/>
    <n v="122001"/>
    <s v="IN"/>
  </r>
  <r>
    <n v="6"/>
    <x v="5"/>
    <n v="1298130"/>
    <s v="men"/>
    <n v="78"/>
    <s v="SENIOR"/>
    <d v="2022-12-04T00:00:00"/>
    <x v="0"/>
    <s v="delivered"/>
    <s v="meesho"/>
    <s v="JNE3797-KR-XXL"/>
    <s v="westerndress"/>
    <s v="m"/>
    <n v="1"/>
    <s v="INR"/>
    <x v="4"/>
    <s v="SANGLI MIRAJ KUPWAD"/>
    <s v="MAHARASHTRA"/>
    <n v="416436"/>
    <s v="IN"/>
  </r>
  <r>
    <n v="7"/>
    <x v="6"/>
    <n v="1347889"/>
    <s v="women"/>
    <n v="25"/>
    <s v="TEEN"/>
    <d v="2022-12-04T00:00:00"/>
    <x v="0"/>
    <s v="delivered"/>
    <s v="meesho"/>
    <s v="JNE3801-KR-XXL"/>
    <s v="kurta"/>
    <s v="l"/>
    <n v="1"/>
    <s v="INR"/>
    <x v="5"/>
    <s v="BENGALURU"/>
    <s v="KARNATAKA"/>
    <n v="560029"/>
    <s v="IN"/>
  </r>
  <r>
    <n v="8"/>
    <x v="7"/>
    <n v="1298130"/>
    <s v="men"/>
    <n v="12"/>
    <s v="TEEN"/>
    <d v="2022-12-04T00:00:00"/>
    <x v="0"/>
    <s v="delivered"/>
    <s v="amazon"/>
    <s v="JNE3405-KR-M"/>
    <s v="kurta"/>
    <s v="m"/>
    <n v="1"/>
    <s v="INR"/>
    <x v="6"/>
    <s v="BENGALURU"/>
    <s v="KARNATAKA"/>
    <n v="562149"/>
    <s v="IN"/>
  </r>
  <r>
    <n v="9"/>
    <x v="8"/>
    <n v="5561216"/>
    <s v="men"/>
    <n v="51"/>
    <s v="SENIOR"/>
    <d v="2022-12-04T00:00:00"/>
    <x v="0"/>
    <s v="delivered"/>
    <s v="ajio"/>
    <s v="JNE3474-KR-E-XL"/>
    <s v="kurta"/>
    <s v="xxl"/>
    <n v="1"/>
    <s v="INR"/>
    <x v="1"/>
    <s v="VIJAYAWADA"/>
    <s v="ANDHRA PRADESH"/>
    <n v="520002"/>
    <s v="IN"/>
  </r>
  <r>
    <n v="10"/>
    <x v="9"/>
    <n v="2935263"/>
    <s v="men"/>
    <n v="26"/>
    <s v="TEEN"/>
    <d v="2022-12-04T00:00:00"/>
    <x v="0"/>
    <s v="delivered"/>
    <s v="ajio"/>
    <s v="JNE3466-KR-L"/>
    <s v="top"/>
    <s v="l"/>
    <n v="1"/>
    <s v="INR"/>
    <x v="4"/>
    <s v="THIRUVANANTHAPURAM"/>
    <s v="KERALA"/>
    <n v="695018"/>
    <s v="IN"/>
  </r>
  <r>
    <n v="11"/>
    <x v="10"/>
    <n v="2648970"/>
    <s v="women"/>
    <n v="63"/>
    <s v="SENIOR"/>
    <d v="2022-12-04T00:00:00"/>
    <x v="0"/>
    <s v="delivered"/>
    <s v="ajio"/>
    <s v="JNE3795-KR-S"/>
    <s v="top"/>
    <s v="l"/>
    <n v="1"/>
    <s v="INR"/>
    <x v="7"/>
    <s v="ARAKONAM"/>
    <s v="TAMIL NADU"/>
    <n v="631003"/>
    <s v="IN"/>
  </r>
  <r>
    <n v="12"/>
    <x v="11"/>
    <n v="2648970"/>
    <s v="women"/>
    <n v="24"/>
    <s v="TEEN"/>
    <d v="2022-12-04T00:00:00"/>
    <x v="0"/>
    <s v="delivered"/>
    <s v="myntra"/>
    <s v="SET217-KR-PP-XL"/>
    <s v="blouse"/>
    <s v="l"/>
    <n v="1"/>
    <s v="INR"/>
    <x v="8"/>
    <s v="GUWAHATI"/>
    <s v="ASSAM"/>
    <n v="781017"/>
    <s v="IN"/>
  </r>
  <r>
    <n v="13"/>
    <x v="12"/>
    <n v="265357"/>
    <s v="women"/>
    <n v="56"/>
    <s v="SENIOR"/>
    <d v="2022-12-04T00:00:00"/>
    <x v="0"/>
    <s v="delivered"/>
    <s v="myntra"/>
    <s v="SET185-KR-NP-M"/>
    <s v="ethinic dress"/>
    <s v="l"/>
    <n v="1"/>
    <s v="INR"/>
    <x v="9"/>
    <s v="BENGALURU"/>
    <s v="KARNATAKA"/>
    <n v="562125"/>
    <s v="IN"/>
  </r>
  <r>
    <n v="14"/>
    <x v="13"/>
    <n v="9268874"/>
    <s v="women"/>
    <n v="41"/>
    <s v="ADULT"/>
    <d v="2022-12-04T00:00:00"/>
    <x v="0"/>
    <s v="delivered"/>
    <s v="meesho"/>
    <s v="SET333-KR-DPT-M"/>
    <s v="sarre"/>
    <s v="s"/>
    <n v="1"/>
    <s v="INR"/>
    <x v="10"/>
    <s v="HYDERABAD"/>
    <s v="TELANGANA"/>
    <n v="500098"/>
    <s v="IN"/>
  </r>
  <r>
    <n v="15"/>
    <x v="14"/>
    <n v="442660"/>
    <s v="men"/>
    <n v="14"/>
    <s v="TEEN"/>
    <d v="2022-12-04T00:00:00"/>
    <x v="0"/>
    <s v="delivered"/>
    <s v="meesho"/>
    <s v="JNE1233-BLUE-KR-031-XXL"/>
    <s v="saree"/>
    <s v="s"/>
    <n v="1"/>
    <s v="INR"/>
    <x v="7"/>
    <s v="MOHALI"/>
    <s v="PUNJAB"/>
    <n v="718034.41758241702"/>
    <s v="IN"/>
  </r>
  <r>
    <n v="16"/>
    <x v="15"/>
    <n v="345678999"/>
    <s v="men"/>
    <n v="15"/>
    <s v="TEEN"/>
    <d v="2022-12-04T00:00:00"/>
    <x v="0"/>
    <s v="delivered"/>
    <s v="meesho"/>
    <s v="SET414-KR-NP-L"/>
    <s v="kurta"/>
    <s v="s"/>
    <n v="1"/>
    <s v="INR"/>
    <x v="11"/>
    <s v="GURUGRAM"/>
    <s v="HARYANA"/>
    <n v="747817.89230769197"/>
    <s v="IN"/>
  </r>
  <r>
    <n v="17"/>
    <x v="16"/>
    <n v="78542111"/>
    <s v="women"/>
    <n v="16"/>
    <s v="TEEN"/>
    <d v="2022-12-04T00:00:00"/>
    <x v="0"/>
    <s v="delivered"/>
    <s v="amazon"/>
    <s v="SET261-KR-PP-S"/>
    <s v="kurta"/>
    <s v="s"/>
    <n v="1"/>
    <s v="INR"/>
    <x v="12"/>
    <s v="KOLKATA"/>
    <s v="WEST BENGAL"/>
    <n v="777601.36703296704"/>
    <s v="IN"/>
  </r>
  <r>
    <n v="18"/>
    <x v="17"/>
    <n v="986532"/>
    <s v="men"/>
    <n v="20"/>
    <s v="TEEN"/>
    <d v="2022-12-04T00:00:00"/>
    <x v="0"/>
    <s v="delivered"/>
    <s v="amazon"/>
    <s v="JNE210-KR-PP-M"/>
    <s v="westerndress"/>
    <s v="xxl"/>
    <n v="1"/>
    <s v="INR"/>
    <x v="13"/>
    <s v="THANJAVUR"/>
    <s v="TAMIL NADU"/>
    <n v="807384.84175824095"/>
    <s v="IN"/>
  </r>
  <r>
    <n v="19"/>
    <x v="18"/>
    <n v="125478"/>
    <s v="men"/>
    <n v="23"/>
    <s v="TEEN"/>
    <d v="2022-12-04T00:00:00"/>
    <x v="0"/>
    <s v="delivered"/>
    <s v="meesho"/>
    <s v="JNE2294-KR-A-XXL"/>
    <m/>
    <s v="xxl"/>
    <n v="1"/>
    <s v="INR"/>
    <x v="14"/>
    <s v="GURUGRAM"/>
    <s v="HARYANA"/>
    <n v="837168.31648351601"/>
    <s v="IN"/>
  </r>
  <r>
    <n v="20"/>
    <x v="19"/>
    <n v="789546213"/>
    <s v="men"/>
    <n v="34"/>
    <s v="ADULT"/>
    <d v="2022-12-04T00:00:00"/>
    <x v="0"/>
    <s v="delivered"/>
    <s v="ajio"/>
    <s v="JNE3797-KR-XXL"/>
    <s v="westerndress"/>
    <s v="xxl"/>
    <n v="1"/>
    <s v="INR"/>
    <x v="15"/>
    <s v="SANGLI MIRAJ KUPWAD"/>
    <s v="MAHARASHTRA"/>
    <n v="866951.79120879096"/>
    <s v="IN"/>
  </r>
  <r>
    <n v="21"/>
    <x v="20"/>
    <n v="234567"/>
    <s v="women"/>
    <n v="42"/>
    <s v="ADULT"/>
    <d v="2022-12-04T00:00:00"/>
    <x v="0"/>
    <s v="delivered"/>
    <s v="ajio"/>
    <s v="JNE3801-KR-XXL"/>
    <s v="sarre"/>
    <s v="l"/>
    <n v="1"/>
    <s v="INR"/>
    <x v="16"/>
    <s v="BENGALURU"/>
    <s v="KARNATAKA"/>
    <n v="896735.26593406603"/>
    <s v="IN"/>
  </r>
  <r>
    <n v="22"/>
    <x v="21"/>
    <n v="87654"/>
    <s v="women"/>
    <n v="24"/>
    <s v="TEEN"/>
    <d v="2022-12-04T00:00:00"/>
    <x v="0"/>
    <s v="delivered"/>
    <s v="flipkart"/>
    <s v="JNE3405-KR-M"/>
    <s v="sarre"/>
    <s v="m"/>
    <n v="1"/>
    <s v="INR"/>
    <x v="11"/>
    <s v="BENGALURU"/>
    <s v="KARNATAKA"/>
    <n v="926518.74065934005"/>
    <s v="IN"/>
  </r>
  <r>
    <n v="23"/>
    <x v="22"/>
    <n v="987654"/>
    <s v="women"/>
    <n v="45"/>
    <s v="ADULT"/>
    <d v="2022-12-04T00:00:00"/>
    <x v="0"/>
    <s v="delivered"/>
    <s v="flipkart"/>
    <s v="JNE3474-KR-E-XL"/>
    <s v="set"/>
    <s v="s"/>
    <n v="1"/>
    <s v="INR"/>
    <x v="17"/>
    <s v="VIJAYAWADA"/>
    <s v="ANDHRA PRADESH"/>
    <n v="956302.215384615"/>
    <s v="IN"/>
  </r>
  <r>
    <n v="24"/>
    <x v="23"/>
    <n v="87654"/>
    <s v="women"/>
    <n v="46"/>
    <s v="ADULT"/>
    <d v="2022-12-04T00:00:00"/>
    <x v="0"/>
    <s v="delivered"/>
    <s v="flipkart"/>
    <s v="JNE3466-KR-L"/>
    <s v="set"/>
    <s v="m"/>
    <n v="1"/>
    <s v="INR"/>
    <x v="18"/>
    <s v="THIRUVANANTHAPURAM"/>
    <s v="KERALA"/>
    <n v="986085.69010988995"/>
    <s v="IN"/>
  </r>
  <r>
    <n v="25"/>
    <x v="24"/>
    <n v="234567"/>
    <s v="women"/>
    <n v="48"/>
    <s v="ADULT"/>
    <d v="2022-12-04T00:00:00"/>
    <x v="0"/>
    <s v="delivered"/>
    <s v="flipkart"/>
    <s v="JNE3795-KR-S"/>
    <s v="sarre"/>
    <s v="m"/>
    <n v="1"/>
    <s v="INR"/>
    <x v="19"/>
    <s v="ARAKONAM"/>
    <s v="TAMIL NADU"/>
    <n v="1015869.16483517"/>
    <s v="IN"/>
  </r>
  <r>
    <n v="26"/>
    <x v="25"/>
    <n v="895623"/>
    <s v="men"/>
    <n v="71"/>
    <s v="SENIOR"/>
    <d v="2022-12-04T00:00:00"/>
    <x v="0"/>
    <s v="delivered"/>
    <s v="amazon"/>
    <s v="SET217-KR-PP-XL"/>
    <s v="sarre"/>
    <s v="xxl"/>
    <n v="1"/>
    <s v="INR"/>
    <x v="20"/>
    <s v="GUWAHATI"/>
    <s v="ASSAM"/>
    <n v="1045652.63956044"/>
    <s v="IN"/>
  </r>
  <r>
    <n v="27"/>
    <x v="26"/>
    <n v="345678"/>
    <s v="men"/>
    <n v="61"/>
    <s v="SENIOR"/>
    <d v="2022-12-04T00:00:00"/>
    <x v="0"/>
    <s v="delivered"/>
    <s v="amazon"/>
    <s v="SET185-KR-NP-M"/>
    <s v="set"/>
    <s v="l"/>
    <n v="1"/>
    <s v="INR"/>
    <x v="21"/>
    <s v="BENGALURU"/>
    <s v="KARNATAKA"/>
    <n v="1075436.11428571"/>
    <s v="IN"/>
  </r>
  <r>
    <n v="28"/>
    <x v="27"/>
    <n v="347865"/>
    <s v="men"/>
    <n v="23"/>
    <s v="TEEN"/>
    <d v="2022-12-04T00:00:00"/>
    <x v="0"/>
    <s v="delivered"/>
    <s v="myntra"/>
    <s v="SET333-KR-DPT-M"/>
    <s v="blouse"/>
    <s v="m"/>
    <n v="1"/>
    <s v="INR"/>
    <x v="22"/>
    <s v="HYDERABAD"/>
    <s v="TELANGANA"/>
    <n v="1105219.58901099"/>
    <s v="IN"/>
  </r>
  <r>
    <n v="29"/>
    <x v="28"/>
    <n v="5457789"/>
    <s v="men"/>
    <n v="18"/>
    <s v="TEEN"/>
    <d v="2022-12-04T00:00:00"/>
    <x v="0"/>
    <s v="delivered"/>
    <s v="amazon"/>
    <s v="JNE1233-BLUE-KR-031-XXL"/>
    <s v="blouse"/>
    <s v="xxl"/>
    <n v="1"/>
    <s v="INR"/>
    <x v="23"/>
    <s v="MOHALI"/>
    <s v="PUNJAB"/>
    <n v="1135003.0637362599"/>
    <s v="IN"/>
  </r>
  <r>
    <n v="30"/>
    <x v="29"/>
    <n v="989755"/>
    <s v="men"/>
    <n v="19"/>
    <s v="TEEN"/>
    <d v="2022-12-04T00:00:00"/>
    <x v="0"/>
    <s v="delivered"/>
    <s v="flipkart"/>
    <s v="SET414-KR-NP-L"/>
    <s v="blouse"/>
    <s v="l"/>
    <n v="1"/>
    <s v="INR"/>
    <x v="12"/>
    <s v="GURUGRAM"/>
    <s v="HARYANA"/>
    <n v="1164786.5384615399"/>
    <s v="IN"/>
  </r>
  <r>
    <n v="31"/>
    <x v="30"/>
    <n v="123678"/>
    <s v="men"/>
    <n v="29"/>
    <s v="TEEN"/>
    <d v="2022-12-04T00:00:00"/>
    <x v="0"/>
    <s v="delivered"/>
    <s v="ajio"/>
    <s v="SET261-KR-PP-S"/>
    <s v="ethinic dress"/>
    <s v="m"/>
    <n v="1"/>
    <s v="INR"/>
    <x v="24"/>
    <s v="KOLKATA"/>
    <s v="WEST BENGAL"/>
    <n v="1194570.0131868101"/>
    <s v="IN"/>
  </r>
  <r>
    <n v="32"/>
    <x v="31"/>
    <n v="678678"/>
    <s v="men"/>
    <n v="65"/>
    <s v="SENIOR"/>
    <d v="2022-12-04T00:00:00"/>
    <x v="0"/>
    <s v="delivered"/>
    <s v="ajio"/>
    <s v="JNE210-KR-PP-M"/>
    <s v="ethinic dress"/>
    <s v="s"/>
    <n v="1"/>
    <s v="INR"/>
    <x v="25"/>
    <s v="THANJAVUR"/>
    <s v="TAMIL NADU"/>
    <n v="1224353.48791209"/>
    <s v="IN"/>
  </r>
  <r>
    <n v="33"/>
    <x v="14"/>
    <n v="890567"/>
    <s v="men"/>
    <n v="28"/>
    <s v="TEEN"/>
    <d v="2022-12-04T00:00:00"/>
    <x v="0"/>
    <s v="delivered"/>
    <s v="amazon"/>
    <s v="JNE2294-KR-A-XXL"/>
    <s v="ethinic dress"/>
    <s v="l"/>
    <n v="1"/>
    <s v="INR"/>
    <x v="11"/>
    <s v="GURUGRAM"/>
    <s v="HARYANA"/>
    <n v="1254136.96263736"/>
    <s v="IN"/>
  </r>
  <r>
    <n v="34"/>
    <x v="15"/>
    <n v="3451234"/>
    <s v="men"/>
    <n v="90"/>
    <s v="SENIOR"/>
    <d v="2022-12-04T00:00:00"/>
    <x v="0"/>
    <s v="delivered"/>
    <s v="myntra"/>
    <s v="JNE3797-KR-XXL"/>
    <s v="ethinic dress"/>
    <s v="s"/>
    <n v="1"/>
    <s v="INR"/>
    <x v="26"/>
    <s v="SANGLI MIRAJ KUPWAD"/>
    <s v="MAHARASHTRA"/>
    <n v="1283920.4373626399"/>
    <s v="IN"/>
  </r>
  <r>
    <n v="35"/>
    <x v="16"/>
    <n v="98568745"/>
    <s v="men"/>
    <n v="15"/>
    <s v="TEEN"/>
    <d v="2022-12-04T00:00:00"/>
    <x v="0"/>
    <s v="delivered"/>
    <s v="amazon"/>
    <s v="JNE3801-KR-XXL"/>
    <s v="bottom"/>
    <s v="m"/>
    <n v="1"/>
    <s v="INR"/>
    <x v="27"/>
    <s v="BENGALURU"/>
    <s v="KARNATAKA"/>
    <n v="1313703.9120879101"/>
    <s v="IN"/>
  </r>
  <r>
    <n v="36"/>
    <x v="17"/>
    <n v="653289"/>
    <s v="women"/>
    <n v="32"/>
    <s v="ADULT"/>
    <d v="2022-12-04T00:00:00"/>
    <x v="0"/>
    <s v="delivered"/>
    <s v="flipkart"/>
    <s v="JNE3405-KR-M"/>
    <s v="bottom"/>
    <s v="xxl"/>
    <n v="1"/>
    <s v="INR"/>
    <x v="28"/>
    <s v="BENGALURU"/>
    <s v="KARNATAKA"/>
    <n v="1343487.3868131901"/>
    <s v="IN"/>
  </r>
  <r>
    <n v="37"/>
    <x v="18"/>
    <n v="897854"/>
    <s v="women"/>
    <n v="34"/>
    <s v="ADULT"/>
    <d v="2022-12-04T00:00:00"/>
    <x v="0"/>
    <s v="delivered"/>
    <s v="flipkart"/>
    <s v="JNE3474-KR-E-XL"/>
    <s v="bottom"/>
    <s v="l"/>
    <n v="1"/>
    <s v="INR"/>
    <x v="29"/>
    <s v="VIJAYAWADA"/>
    <s v="ANDHRA PRADESH"/>
    <n v="1373270.86153846"/>
    <s v="IN"/>
  </r>
  <r>
    <n v="38"/>
    <x v="19"/>
    <n v="456589"/>
    <s v="women"/>
    <n v="39"/>
    <s v="ADULT"/>
    <d v="2022-12-04T00:00:00"/>
    <x v="0"/>
    <s v="delivered"/>
    <s v="flipkart"/>
    <s v="JNE3466-KR-L"/>
    <s v="bottom"/>
    <s v="s"/>
    <n v="1"/>
    <s v="INR"/>
    <x v="30"/>
    <s v="THIRUVANANTHAPURAM"/>
    <s v="KERALA"/>
    <n v="1403054.33626374"/>
    <s v="IN"/>
  </r>
  <r>
    <n v="39"/>
    <x v="20"/>
    <n v="215689"/>
    <s v="women"/>
    <n v="51"/>
    <s v="SENIOR"/>
    <d v="2022-12-04T00:00:00"/>
    <x v="0"/>
    <s v="delivered"/>
    <s v="ajio"/>
    <s v="JNE3795-KR-S"/>
    <s v="bottom"/>
    <s v="l"/>
    <n v="1"/>
    <s v="INR"/>
    <x v="31"/>
    <s v="ARAKONAM"/>
    <s v="TAMIL NADU"/>
    <n v="1432837.8109890099"/>
    <s v="IN"/>
  </r>
  <r>
    <n v="40"/>
    <x v="21"/>
    <n v="125478"/>
    <s v="women"/>
    <n v="56"/>
    <s v="SENIOR"/>
    <d v="2022-12-04T00:00:00"/>
    <x v="0"/>
    <s v="delivered"/>
    <s v="amazon"/>
    <s v="SET217-KR-PP-XL"/>
    <s v="bottom"/>
    <s v="xxl"/>
    <n v="1"/>
    <s v="INR"/>
    <x v="32"/>
    <s v="GUWAHATI"/>
    <s v="ASSAM"/>
    <n v="1462621.2857142801"/>
    <s v="IN"/>
  </r>
  <r>
    <n v="41"/>
    <x v="22"/>
    <n v="328754"/>
    <s v="women"/>
    <n v="54"/>
    <s v="SENIOR"/>
    <d v="2022-12-04T00:00:00"/>
    <x v="0"/>
    <s v="delivered"/>
    <s v="amazon"/>
    <s v="SET185-KR-NP-M"/>
    <s v="bottom"/>
    <s v="s"/>
    <n v="1"/>
    <s v="INR"/>
    <x v="33"/>
    <s v="BENGALURU"/>
    <s v="KARNATAKA"/>
    <n v="1492404.7604395601"/>
    <s v="IN"/>
  </r>
  <r>
    <n v="42"/>
    <x v="23"/>
    <n v="238965"/>
    <s v="men"/>
    <n v="58"/>
    <s v="SENIOR"/>
    <d v="2022-12-04T00:00:00"/>
    <x v="0"/>
    <s v="delivered"/>
    <s v="ajio"/>
    <s v="SET333-KR-DPT-M"/>
    <s v="sarre"/>
    <s v="m"/>
    <n v="1"/>
    <s v="INR"/>
    <x v="34"/>
    <s v="HYDERABAD"/>
    <s v="TELANGANA"/>
    <n v="1522188.23516483"/>
    <s v="IN"/>
  </r>
  <r>
    <n v="43"/>
    <x v="24"/>
    <n v="788931"/>
    <s v="women"/>
    <n v="82"/>
    <s v="SENIOR"/>
    <d v="2022-12-04T00:00:00"/>
    <x v="0"/>
    <s v="delivered"/>
    <s v="ajio"/>
    <s v="JNE1233-BLUE-KR-031-XXL"/>
    <s v="sarre"/>
    <s v="ls"/>
    <n v="1"/>
    <s v="INR"/>
    <x v="35"/>
    <s v="MOHALI"/>
    <s v="PUNJAB"/>
    <n v="1551971.70989011"/>
    <s v="IN"/>
  </r>
  <r>
    <n v="44"/>
    <x v="32"/>
    <n v="647913"/>
    <s v="men"/>
    <n v="24"/>
    <s v="TEEN"/>
    <d v="2022-12-04T00:00:00"/>
    <x v="0"/>
    <s v="delivered"/>
    <s v="meesho"/>
    <s v="SET414-KR-NP-L"/>
    <s v="westerndress"/>
    <s v="mx"/>
    <n v="1"/>
    <s v="INR"/>
    <x v="36"/>
    <s v="GURUGRAM"/>
    <s v="HARYANA"/>
    <n v="1581755.1846153799"/>
    <s v="IN"/>
  </r>
  <r>
    <n v="45"/>
    <x v="26"/>
    <n v="856974"/>
    <s v="women"/>
    <n v="26"/>
    <s v="TEEN"/>
    <d v="2022-12-04T00:00:00"/>
    <x v="0"/>
    <s v="delivered"/>
    <s v="meesho"/>
    <s v="SET261-KR-PP-S"/>
    <s v="ethinic dress"/>
    <s v="ls"/>
    <n v="1"/>
    <s v="INR"/>
    <x v="6"/>
    <s v="KOLKATA"/>
    <s v="WEST BENGAL"/>
    <n v="1611538.6593406601"/>
    <s v="IN"/>
  </r>
  <r>
    <n v="46"/>
    <x v="27"/>
    <n v="491623"/>
    <s v="men"/>
    <n v="23"/>
    <s v="TEEN"/>
    <d v="2022-12-04T00:00:00"/>
    <x v="0"/>
    <s v="delivered"/>
    <s v="meesho"/>
    <s v="JNE210-KR-PP-M"/>
    <s v="westerndress"/>
    <s v="l"/>
    <n v="1"/>
    <s v="INR"/>
    <x v="1"/>
    <s v="THANJAVUR"/>
    <s v="TAMIL NADU"/>
    <n v="1641322.13406593"/>
    <s v="IN"/>
  </r>
  <r>
    <n v="47"/>
    <x v="28"/>
    <n v="538647"/>
    <s v="men"/>
    <n v="22"/>
    <s v="TEEN"/>
    <d v="2022-12-04T00:00:00"/>
    <x v="0"/>
    <s v="delivered"/>
    <s v="meesho"/>
    <s v="JNE2294-KR-A-XXL"/>
    <s v="ethinic dress"/>
    <s v="xxl"/>
    <n v="1"/>
    <s v="INR"/>
    <x v="37"/>
    <s v="GURUGRAM"/>
    <s v="HARYANA"/>
    <n v="1671105.60879121"/>
    <s v="IN"/>
  </r>
  <r>
    <n v="48"/>
    <x v="29"/>
    <n v="895476"/>
    <s v="men"/>
    <n v="20"/>
    <s v="TEEN"/>
    <d v="2022-12-04T00:00:00"/>
    <x v="0"/>
    <s v="delivered"/>
    <s v="amazon"/>
    <s v="JNE3797-KR-XXL"/>
    <s v="bottom"/>
    <s v="s"/>
    <n v="1"/>
    <s v="INR"/>
    <x v="38"/>
    <s v="SANGLI MIRAJ KUPWAD"/>
    <s v="MAHARASHTRA"/>
    <n v="1700889.0835164799"/>
    <s v="IN"/>
  </r>
  <r>
    <n v="49"/>
    <x v="33"/>
    <n v="21578"/>
    <s v="women"/>
    <n v="19"/>
    <s v="TEEN"/>
    <d v="2022-12-04T00:00:00"/>
    <x v="0"/>
    <s v="delivered"/>
    <s v="flipkart"/>
    <s v="JNE3801-KR-XXL"/>
    <s v="set"/>
    <s v="m"/>
    <n v="1"/>
    <s v="INR"/>
    <x v="4"/>
    <s v="BENGALURU"/>
    <s v="KARNATAKA"/>
    <n v="1730672.5582417599"/>
    <s v="IN"/>
  </r>
  <r>
    <n v="50"/>
    <x v="34"/>
    <n v="535975"/>
    <s v="women"/>
    <n v="16"/>
    <s v="TEEN"/>
    <d v="2022-12-04T00:00:00"/>
    <x v="0"/>
    <s v="delivered"/>
    <s v="flipkart"/>
    <s v="JNE3405-KR-M"/>
    <s v="sarre"/>
    <s v="s"/>
    <n v="1"/>
    <s v="INR"/>
    <x v="7"/>
    <s v="BENGALURU"/>
    <s v="KARNATAKA"/>
    <n v="1760456.0329670301"/>
    <s v="I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x v="0"/>
    <n v="6000"/>
    <n v="4000"/>
    <n v="504000"/>
    <n v="168000"/>
  </r>
  <r>
    <d v="2021-09-07T00:00:00"/>
    <x v="1"/>
    <x v="1"/>
    <x v="1"/>
    <x v="1"/>
    <n v="3500"/>
    <n v="2500"/>
    <n v="448000"/>
    <n v="128000"/>
  </r>
  <r>
    <d v="2021-02-03T00:00:00"/>
    <x v="2"/>
    <x v="2"/>
    <x v="2"/>
    <x v="2"/>
    <n v="1200"/>
    <n v="800"/>
    <n v="163200"/>
    <n v="54400"/>
  </r>
  <r>
    <d v="2021-09-11T00:00:00"/>
    <x v="3"/>
    <x v="3"/>
    <x v="3"/>
    <x v="3"/>
    <n v="1000"/>
    <n v="700"/>
    <n v="91000"/>
    <n v="27300"/>
  </r>
  <r>
    <d v="2021-09-23T00:00:00"/>
    <x v="4"/>
    <x v="0"/>
    <x v="4"/>
    <x v="4"/>
    <n v="4000"/>
    <n v="3000"/>
    <n v="440000"/>
    <n v="110000"/>
  </r>
  <r>
    <d v="2020-10-01T00:00:00"/>
    <x v="5"/>
    <x v="1"/>
    <x v="2"/>
    <x v="5"/>
    <n v="1200"/>
    <n v="800"/>
    <n v="61200"/>
    <n v="20400"/>
  </r>
  <r>
    <d v="2021-08-05T00:00:00"/>
    <x v="6"/>
    <x v="3"/>
    <x v="3"/>
    <x v="6"/>
    <n v="1000"/>
    <n v="700"/>
    <n v="78000"/>
    <n v="23400"/>
  </r>
  <r>
    <d v="2020-11-06T00:00:00"/>
    <x v="7"/>
    <x v="2"/>
    <x v="0"/>
    <x v="7"/>
    <n v="6000"/>
    <n v="4000"/>
    <n v="876000"/>
    <n v="292000"/>
  </r>
  <r>
    <d v="2021-01-27T00:00:00"/>
    <x v="8"/>
    <x v="0"/>
    <x v="5"/>
    <x v="8"/>
    <n v="600"/>
    <n v="400"/>
    <n v="60600"/>
    <n v="20200"/>
  </r>
  <r>
    <d v="2021-09-03T00:00:00"/>
    <x v="9"/>
    <x v="2"/>
    <x v="0"/>
    <x v="9"/>
    <n v="6000"/>
    <n v="4000"/>
    <n v="312000"/>
    <n v="104000"/>
  </r>
  <r>
    <d v="2021-09-30T00:00:00"/>
    <x v="9"/>
    <x v="1"/>
    <x v="2"/>
    <x v="10"/>
    <n v="1200"/>
    <n v="800"/>
    <n v="66000"/>
    <n v="22000"/>
  </r>
  <r>
    <d v="2020-09-10T00:00:00"/>
    <x v="9"/>
    <x v="2"/>
    <x v="3"/>
    <x v="11"/>
    <n v="1000"/>
    <n v="700"/>
    <n v="137000"/>
    <n v="41100"/>
  </r>
  <r>
    <d v="2021-07-27T00:00:00"/>
    <x v="7"/>
    <x v="2"/>
    <x v="1"/>
    <x v="12"/>
    <n v="3500"/>
    <n v="2500"/>
    <n v="336000"/>
    <n v="96000"/>
  </r>
  <r>
    <d v="2020-10-09T00:00:00"/>
    <x v="8"/>
    <x v="1"/>
    <x v="4"/>
    <x v="9"/>
    <n v="4000"/>
    <n v="3000"/>
    <n v="208000"/>
    <n v="52000"/>
  </r>
  <r>
    <d v="2021-04-06T00:00:00"/>
    <x v="3"/>
    <x v="0"/>
    <x v="1"/>
    <x v="13"/>
    <n v="3500"/>
    <n v="2500"/>
    <n v="266000"/>
    <n v="76000"/>
  </r>
  <r>
    <d v="2021-06-15T00:00:00"/>
    <x v="1"/>
    <x v="3"/>
    <x v="4"/>
    <x v="14"/>
    <n v="4000"/>
    <n v="3000"/>
    <n v="580000"/>
    <n v="145000"/>
  </r>
  <r>
    <d v="2020-09-09T00:00:00"/>
    <x v="0"/>
    <x v="2"/>
    <x v="5"/>
    <x v="15"/>
    <n v="600"/>
    <n v="400"/>
    <n v="49800"/>
    <n v="16600"/>
  </r>
  <r>
    <d v="2021-08-13T00:00:00"/>
    <x v="4"/>
    <x v="2"/>
    <x v="3"/>
    <x v="3"/>
    <n v="1000"/>
    <n v="700"/>
    <n v="91000"/>
    <n v="27300"/>
  </r>
  <r>
    <d v="2020-08-27T00:00:00"/>
    <x v="5"/>
    <x v="0"/>
    <x v="6"/>
    <x v="16"/>
    <n v="10000"/>
    <n v="7000"/>
    <n v="1080000"/>
    <n v="324000"/>
  </r>
  <r>
    <d v="2021-04-07T00:00:00"/>
    <x v="2"/>
    <x v="3"/>
    <x v="4"/>
    <x v="17"/>
    <n v="4000"/>
    <n v="3000"/>
    <n v="576000"/>
    <n v="144000"/>
  </r>
  <r>
    <d v="2020-06-08T00:00:00"/>
    <x v="4"/>
    <x v="2"/>
    <x v="5"/>
    <x v="18"/>
    <n v="600"/>
    <n v="400"/>
    <n v="55200"/>
    <n v="18400"/>
  </r>
  <r>
    <d v="2021-12-21T00:00:00"/>
    <x v="7"/>
    <x v="0"/>
    <x v="0"/>
    <x v="19"/>
    <n v="6000"/>
    <n v="4000"/>
    <n v="426000"/>
    <n v="142000"/>
  </r>
  <r>
    <d v="2021-08-10T00:00:00"/>
    <x v="0"/>
    <x v="1"/>
    <x v="5"/>
    <x v="20"/>
    <n v="600"/>
    <n v="400"/>
    <n v="61800"/>
    <n v="20600"/>
  </r>
  <r>
    <d v="2021-12-02T00:00:00"/>
    <x v="9"/>
    <x v="3"/>
    <x v="3"/>
    <x v="10"/>
    <n v="1000"/>
    <n v="700"/>
    <n v="55000"/>
    <n v="16500"/>
  </r>
  <r>
    <d v="2021-08-30T00:00:00"/>
    <x v="5"/>
    <x v="1"/>
    <x v="4"/>
    <x v="21"/>
    <n v="4000"/>
    <n v="3000"/>
    <n v="372000"/>
    <n v="93000"/>
  </r>
  <r>
    <d v="2021-05-20T00:00:00"/>
    <x v="2"/>
    <x v="2"/>
    <x v="5"/>
    <x v="22"/>
    <n v="600"/>
    <n v="400"/>
    <n v="85800"/>
    <n v="28600"/>
  </r>
  <r>
    <d v="2021-09-13T00:00:00"/>
    <x v="6"/>
    <x v="0"/>
    <x v="1"/>
    <x v="22"/>
    <n v="3500"/>
    <n v="2500"/>
    <n v="500500"/>
    <n v="143000"/>
  </r>
  <r>
    <d v="2021-10-27T00:00:00"/>
    <x v="8"/>
    <x v="3"/>
    <x v="5"/>
    <x v="23"/>
    <n v="600"/>
    <n v="400"/>
    <n v="59400"/>
    <n v="19800"/>
  </r>
  <r>
    <d v="2020-12-22T00:00:00"/>
    <x v="3"/>
    <x v="0"/>
    <x v="3"/>
    <x v="24"/>
    <n v="1000"/>
    <n v="700"/>
    <n v="120000"/>
    <n v="36000"/>
  </r>
  <r>
    <d v="2021-07-28T00:00:00"/>
    <x v="1"/>
    <x v="2"/>
    <x v="1"/>
    <x v="25"/>
    <n v="3500"/>
    <n v="2500"/>
    <n v="231000"/>
    <n v="66000"/>
  </r>
  <r>
    <d v="2020-09-29T00:00:00"/>
    <x v="8"/>
    <x v="3"/>
    <x v="2"/>
    <x v="26"/>
    <n v="1200"/>
    <n v="800"/>
    <n v="105600"/>
    <n v="35200"/>
  </r>
  <r>
    <d v="2020-10-22T00:00:00"/>
    <x v="3"/>
    <x v="1"/>
    <x v="6"/>
    <x v="27"/>
    <n v="10000"/>
    <n v="7000"/>
    <n v="1270000"/>
    <n v="381000"/>
  </r>
  <r>
    <d v="2020-05-19T00:00:00"/>
    <x v="4"/>
    <x v="0"/>
    <x v="4"/>
    <x v="28"/>
    <n v="4000"/>
    <n v="3000"/>
    <n v="268000"/>
    <n v="67000"/>
  </r>
  <r>
    <d v="2021-12-06T00:00:00"/>
    <x v="1"/>
    <x v="1"/>
    <x v="2"/>
    <x v="28"/>
    <n v="1200"/>
    <n v="800"/>
    <n v="80400"/>
    <n v="26800"/>
  </r>
  <r>
    <d v="2020-08-26T00:00:00"/>
    <x v="9"/>
    <x v="2"/>
    <x v="3"/>
    <x v="29"/>
    <n v="1000"/>
    <n v="700"/>
    <n v="149000"/>
    <n v="44700"/>
  </r>
  <r>
    <d v="2021-07-01T00:00:00"/>
    <x v="4"/>
    <x v="3"/>
    <x v="5"/>
    <x v="30"/>
    <n v="600"/>
    <n v="400"/>
    <n v="62400"/>
    <n v="20800"/>
  </r>
  <r>
    <d v="2021-07-27T00:00:00"/>
    <x v="7"/>
    <x v="0"/>
    <x v="5"/>
    <x v="31"/>
    <n v="600"/>
    <n v="400"/>
    <n v="34200"/>
    <n v="11400"/>
  </r>
  <r>
    <d v="2020-10-05T00:00:00"/>
    <x v="2"/>
    <x v="1"/>
    <x v="5"/>
    <x v="32"/>
    <n v="600"/>
    <n v="400"/>
    <n v="54000"/>
    <n v="18000"/>
  </r>
  <r>
    <d v="2020-09-02T00:00:00"/>
    <x v="5"/>
    <x v="2"/>
    <x v="5"/>
    <x v="28"/>
    <n v="600"/>
    <n v="400"/>
    <n v="40200"/>
    <n v="13400"/>
  </r>
  <r>
    <d v="2021-09-02T00:00:00"/>
    <x v="0"/>
    <x v="3"/>
    <x v="4"/>
    <x v="27"/>
    <n v="4000"/>
    <n v="3000"/>
    <n v="508000"/>
    <n v="127000"/>
  </r>
  <r>
    <d v="2021-04-13T00:00:00"/>
    <x v="5"/>
    <x v="0"/>
    <x v="3"/>
    <x v="16"/>
    <n v="1000"/>
    <n v="700"/>
    <n v="108000"/>
    <n v="32400"/>
  </r>
  <r>
    <d v="2021-05-06T00:00:00"/>
    <x v="2"/>
    <x v="1"/>
    <x v="1"/>
    <x v="25"/>
    <n v="3500"/>
    <n v="2500"/>
    <n v="231000"/>
    <n v="66000"/>
  </r>
  <r>
    <d v="2021-01-15T00:00:00"/>
    <x v="0"/>
    <x v="3"/>
    <x v="0"/>
    <x v="6"/>
    <n v="6000"/>
    <n v="4000"/>
    <n v="468000"/>
    <n v="156000"/>
  </r>
  <r>
    <d v="2020-08-27T00:00:00"/>
    <x v="7"/>
    <x v="2"/>
    <x v="3"/>
    <x v="33"/>
    <n v="1000"/>
    <n v="700"/>
    <n v="69000"/>
    <n v="20700"/>
  </r>
  <r>
    <d v="2021-08-05T00:00:00"/>
    <x v="4"/>
    <x v="0"/>
    <x v="2"/>
    <x v="34"/>
    <n v="1200"/>
    <n v="800"/>
    <n v="70800"/>
    <n v="23600"/>
  </r>
  <r>
    <d v="2021-11-17T00:00:00"/>
    <x v="9"/>
    <x v="2"/>
    <x v="5"/>
    <x v="35"/>
    <n v="600"/>
    <n v="400"/>
    <n v="65400"/>
    <n v="21800"/>
  </r>
  <r>
    <d v="2020-12-28T00:00:00"/>
    <x v="8"/>
    <x v="1"/>
    <x v="4"/>
    <x v="36"/>
    <n v="4000"/>
    <n v="3000"/>
    <n v="244000"/>
    <n v="61000"/>
  </r>
  <r>
    <d v="2021-10-27T00:00:00"/>
    <x v="4"/>
    <x v="3"/>
    <x v="5"/>
    <x v="37"/>
    <n v="600"/>
    <n v="400"/>
    <n v="78000"/>
    <n v="26000"/>
  </r>
  <r>
    <d v="2021-11-02T00:00:00"/>
    <x v="3"/>
    <x v="2"/>
    <x v="1"/>
    <x v="38"/>
    <n v="3500"/>
    <n v="2500"/>
    <n v="210000"/>
    <n v="60000"/>
  </r>
  <r>
    <d v="2020-05-07T00:00:00"/>
    <x v="1"/>
    <x v="1"/>
    <x v="0"/>
    <x v="39"/>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FB1310-88F2-463B-B88F-4C91C9651B5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8" firstHeaderRow="1" firstDataRow="1" firstDataCol="0"/>
  <pivotFields count="2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B4CF0A-1D7B-4737-A1F4-6CC2C985891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C7" firstHeaderRow="0" firstDataRow="1" firstDataCol="1"/>
  <pivotFields count="20">
    <pivotField showAll="0"/>
    <pivotField dataField="1" showAll="0">
      <items count="36">
        <item x="30"/>
        <item x="2"/>
        <item x="14"/>
        <item x="26"/>
        <item x="0"/>
        <item x="6"/>
        <item x="18"/>
        <item x="33"/>
        <item x="25"/>
        <item x="10"/>
        <item x="22"/>
        <item x="4"/>
        <item x="16"/>
        <item x="28"/>
        <item x="12"/>
        <item x="24"/>
        <item x="8"/>
        <item x="20"/>
        <item x="13"/>
        <item x="32"/>
        <item x="3"/>
        <item x="15"/>
        <item x="27"/>
        <item x="1"/>
        <item x="31"/>
        <item x="11"/>
        <item x="23"/>
        <item x="5"/>
        <item x="17"/>
        <item x="29"/>
        <item x="9"/>
        <item x="21"/>
        <item x="7"/>
        <item x="19"/>
        <item x="34"/>
        <item t="default"/>
      </items>
    </pivotField>
    <pivotField showAll="0"/>
    <pivotField showAll="0"/>
    <pivotField showAll="0"/>
    <pivotField showAll="0"/>
    <pivotField numFmtId="14" showAll="0"/>
    <pivotField axis="axisRow" showAll="0">
      <items count="2">
        <item x="0"/>
        <item t="default"/>
      </items>
    </pivotField>
    <pivotField showAll="0"/>
    <pivotField showAll="0"/>
    <pivotField showAll="0"/>
    <pivotField showAll="0"/>
    <pivotField showAll="0"/>
    <pivotField showAll="0"/>
    <pivotField showAll="0"/>
    <pivotField dataField="1" showAll="0">
      <items count="40">
        <item x="8"/>
        <item x="6"/>
        <item x="11"/>
        <item x="30"/>
        <item x="29"/>
        <item x="34"/>
        <item x="1"/>
        <item x="13"/>
        <item x="2"/>
        <item x="33"/>
        <item x="9"/>
        <item x="0"/>
        <item x="12"/>
        <item x="14"/>
        <item x="27"/>
        <item x="21"/>
        <item x="7"/>
        <item x="15"/>
        <item x="20"/>
        <item x="35"/>
        <item x="28"/>
        <item x="16"/>
        <item x="5"/>
        <item x="37"/>
        <item x="23"/>
        <item x="3"/>
        <item x="10"/>
        <item x="19"/>
        <item x="24"/>
        <item x="4"/>
        <item x="26"/>
        <item x="38"/>
        <item x="17"/>
        <item x="32"/>
        <item x="36"/>
        <item x="25"/>
        <item x="31"/>
        <item x="22"/>
        <item x="18"/>
        <item t="default"/>
      </items>
    </pivotField>
    <pivotField showAll="0"/>
    <pivotField showAll="0"/>
    <pivotField showAll="0"/>
    <pivotField showAll="0"/>
  </pivotFields>
  <rowFields count="1">
    <field x="7"/>
  </rowFields>
  <rowItems count="2">
    <i>
      <x/>
    </i>
    <i t="grand">
      <x/>
    </i>
  </rowItems>
  <colFields count="1">
    <field x="-2"/>
  </colFields>
  <colItems count="2">
    <i>
      <x/>
    </i>
    <i i="1">
      <x v="1"/>
    </i>
  </colItems>
  <dataFields count="2">
    <dataField name="Sum of ammount" fld="15" baseField="0" baseItem="0"/>
    <dataField name="Count of order id" fld="1" subtotal="count" baseField="0" baseItem="0"/>
  </dataFields>
  <chartFormats count="2">
    <chartFormat chart="0" format="42" series="1">
      <pivotArea type="data" outline="0" fieldPosition="0">
        <references count="1">
          <reference field="4294967294" count="1" selected="0">
            <x v="1"/>
          </reference>
        </references>
      </pivotArea>
    </chartFormat>
    <chartFormat chart="0" format="8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3F25E4-403C-4155-8A39-40578F56A64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K1:L9"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items count="41">
        <item x="5"/>
        <item x="9"/>
        <item x="10"/>
        <item x="31"/>
        <item x="34"/>
        <item x="38"/>
        <item x="36"/>
        <item x="25"/>
        <item x="28"/>
        <item x="33"/>
        <item x="19"/>
        <item x="39"/>
        <item x="13"/>
        <item x="6"/>
        <item x="15"/>
        <item x="0"/>
        <item x="26"/>
        <item x="32"/>
        <item x="3"/>
        <item x="18"/>
        <item x="21"/>
        <item x="12"/>
        <item x="23"/>
        <item x="8"/>
        <item x="20"/>
        <item x="30"/>
        <item x="16"/>
        <item x="35"/>
        <item x="4"/>
        <item x="24"/>
        <item x="27"/>
        <item x="1"/>
        <item x="37"/>
        <item x="2"/>
        <item x="11"/>
        <item x="22"/>
        <item x="17"/>
        <item x="14"/>
        <item x="7"/>
        <item x="29"/>
        <item t="default"/>
      </items>
    </pivotField>
    <pivotField numFmtId="44" showAll="0"/>
    <pivotField numFmtId="44" showAll="0"/>
    <pivotField numFmtId="44" showAll="0"/>
    <pivotField numFmtId="44"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2">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BE2EF8-DB08-419F-8C04-7EB223294B5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H12"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44" showAll="0"/>
    <pivotField numFmtId="44" showAll="0"/>
    <pivotField dataField="1" numFmtId="44" showAll="0"/>
    <pivotField numFmtId="44" showAll="0"/>
  </pivotFields>
  <rowFields count="1">
    <field x="1"/>
  </rowFields>
  <rowItems count="11">
    <i>
      <x/>
    </i>
    <i>
      <x v="1"/>
    </i>
    <i>
      <x v="2"/>
    </i>
    <i>
      <x v="3"/>
    </i>
    <i>
      <x v="4"/>
    </i>
    <i>
      <x v="5"/>
    </i>
    <i>
      <x v="6"/>
    </i>
    <i>
      <x v="7"/>
    </i>
    <i>
      <x v="8"/>
    </i>
    <i>
      <x v="9"/>
    </i>
    <i t="grand">
      <x/>
    </i>
  </rowItems>
  <colItems count="1">
    <i/>
  </colItems>
  <dataFields count="1">
    <dataField name="Sum of Total Sales" fld="7" baseField="0" baseItem="0" numFmtId="44"/>
  </dataFields>
  <chartFormats count="4">
    <chartFormat chart="0"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2E9CB7-ED2E-433C-94C5-3A98C076DC6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E9"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44" showAll="0"/>
    <pivotField numFmtId="44" showAll="0"/>
    <pivotField dataField="1" numFmtId="44" showAll="0"/>
    <pivotField numFmtId="44" showAll="0"/>
  </pivotFields>
  <rowFields count="1">
    <field x="3"/>
  </rowFields>
  <rowItems count="8">
    <i>
      <x/>
    </i>
    <i>
      <x v="1"/>
    </i>
    <i>
      <x v="2"/>
    </i>
    <i>
      <x v="3"/>
    </i>
    <i>
      <x v="4"/>
    </i>
    <i>
      <x v="5"/>
    </i>
    <i>
      <x v="6"/>
    </i>
    <i t="grand">
      <x/>
    </i>
  </rowItems>
  <colItems count="1">
    <i/>
  </colItems>
  <dataFields count="1">
    <dataField name="Sum of Total Sales" fld="7" baseField="0" baseItem="0" numFmtId="44"/>
  </dataFields>
  <chartFormats count="3">
    <chartFormat chart="0"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67AA91-836D-446D-AD71-CB75530E068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6" firstHeaderRow="1" firstDataRow="1" firstDataCol="1"/>
  <pivotFields count="9">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44" showAll="0"/>
    <pivotField numFmtId="44" showAll="0"/>
    <pivotField dataField="1" numFmtId="44" showAll="0"/>
    <pivotField numFmtId="44" showAll="0"/>
  </pivotFields>
  <rowFields count="1">
    <field x="2"/>
  </rowFields>
  <rowItems count="5">
    <i>
      <x/>
    </i>
    <i>
      <x v="1"/>
    </i>
    <i>
      <x v="2"/>
    </i>
    <i>
      <x v="3"/>
    </i>
    <i t="grand">
      <x/>
    </i>
  </rowItems>
  <colItems count="1">
    <i/>
  </colItems>
  <dataFields count="1">
    <dataField name="Sum of Total Sales" fld="7" baseField="0" baseItem="0" numFmtId="44"/>
  </dataFields>
  <chartFormats count="15">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2"/>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2" count="1" selected="0">
            <x v="0"/>
          </reference>
        </references>
      </pivotArea>
    </chartFormat>
    <chartFormat chart="11" format="9">
      <pivotArea type="data" outline="0" fieldPosition="0">
        <references count="2">
          <reference field="4294967294" count="1" selected="0">
            <x v="0"/>
          </reference>
          <reference field="2" count="1" selected="0">
            <x v="1"/>
          </reference>
        </references>
      </pivotArea>
    </chartFormat>
    <chartFormat chart="11" format="10">
      <pivotArea type="data" outline="0" fieldPosition="0">
        <references count="2">
          <reference field="4294967294" count="1" selected="0">
            <x v="0"/>
          </reference>
          <reference field="2" count="1" selected="0">
            <x v="2"/>
          </reference>
        </references>
      </pivotArea>
    </chartFormat>
    <chartFormat chart="11" format="11">
      <pivotArea type="data" outline="0" fieldPosition="0">
        <references count="2">
          <reference field="4294967294" count="1" selected="0">
            <x v="0"/>
          </reference>
          <reference field="2" count="1" selected="0">
            <x v="3"/>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2" count="1" selected="0">
            <x v="0"/>
          </reference>
        </references>
      </pivotArea>
    </chartFormat>
    <chartFormat chart="12" format="14">
      <pivotArea type="data" outline="0" fieldPosition="0">
        <references count="2">
          <reference field="4294967294" count="1" selected="0">
            <x v="0"/>
          </reference>
          <reference field="2" count="1" selected="0">
            <x v="1"/>
          </reference>
        </references>
      </pivotArea>
    </chartFormat>
    <chartFormat chart="12" format="15">
      <pivotArea type="data" outline="0" fieldPosition="0">
        <references count="2">
          <reference field="4294967294" count="1" selected="0">
            <x v="0"/>
          </reference>
          <reference field="2" count="1" selected="0">
            <x v="2"/>
          </reference>
        </references>
      </pivotArea>
    </chartFormat>
    <chartFormat chart="12" format="16">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9C51B791-56CD-4517-9FD2-26A3DD63337D}" sourceName="Sales Person">
  <pivotTables>
    <pivotTable tabId="21" name="PivotTable1"/>
    <pivotTable tabId="21" name="PivotTable2"/>
    <pivotTable tabId="21" name="PivotTable3"/>
    <pivotTable tabId="21" name="PivotTable4"/>
  </pivotTables>
  <data>
    <tabular pivotCacheId="1835260193">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A6F922-3015-44BF-A228-6F1BFCC41B7D}" sourceName="Region">
  <pivotTables>
    <pivotTable tabId="21" name="PivotTable1"/>
    <pivotTable tabId="21" name="PivotTable2"/>
    <pivotTable tabId="21" name="PivotTable3"/>
    <pivotTable tabId="21" name="PivotTable4"/>
  </pivotTables>
  <data>
    <tabular pivotCacheId="1835260193">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23B8B48-1489-4386-8A24-55E795EE5627}" sourceName="Product">
  <pivotTables>
    <pivotTable tabId="21" name="PivotTable1"/>
    <pivotTable tabId="21" name="PivotTable2"/>
    <pivotTable tabId="21" name="PivotTable3"/>
    <pivotTable tabId="21" name="PivotTable4"/>
  </pivotTables>
  <data>
    <tabular pivotCacheId="1835260193">
      <items count="7">
        <i x="2" s="1"/>
        <i x="1" s="1"/>
        <i x="5" s="1"/>
        <i x="3"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1B21AC0A-7C4F-461E-8211-3A2FBE55F638}" cache="Slicer_Sales_Person" caption="Sales Person" rowHeight="247650"/>
  <slicer name="Region" xr10:uid="{51155227-AC25-4FD5-AE6A-31308123C319}" cache="Slicer_Region" caption="Region" columnCount="2" showCaption="0" rowHeight="247650"/>
  <slicer name="Product" xr10:uid="{1827445A-8C3A-43DE-B67B-0B7191A25613}" cache="Slicer_Product" caption="Produc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ECCEC38D-85B4-4844-84EC-DB52F66C3518}" cache="Slicer_Sales_Person" caption="Sales Person" style="SlicerStyleDark1" rowHeight="247650"/>
  <slicer name="Region 1" xr10:uid="{B2A30731-597C-4376-9B80-0B9A895D0153}" cache="Slicer_Region" caption="Region" columnCount="2" showCaption="0" style="SlicerStyleDark1" rowHeight="247650"/>
  <slicer name="Product 1" xr10:uid="{4AD12E79-2E02-46EB-A51D-0ED5E7B84613}" cache="Slicer_Product" caption="Product"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8C299D-46B7-46ED-9CFA-BC4ECE2E1D21}" name="Table1" displayName="Table1" ref="A1:I51" totalsRowShown="0" headerRowDxfId="10" dataDxfId="9">
  <autoFilter ref="A1:I51" xr:uid="{7B8C299D-46B7-46ED-9CFA-BC4ECE2E1D21}"/>
  <tableColumns count="9">
    <tableColumn id="1" xr3:uid="{9F3C5D49-2991-4D76-8A99-F5BA78AC112B}" name="Date" dataDxfId="8"/>
    <tableColumn id="2" xr3:uid="{D6850FAB-327F-4BE3-B4D2-F54792A2F98B}" name="Sales Person" dataDxfId="7"/>
    <tableColumn id="3" xr3:uid="{BC03D8B3-5066-4EFF-A517-7A0DBD2DA766}" name="Region" dataDxfId="6"/>
    <tableColumn id="4" xr3:uid="{1189FFEF-7EDC-4948-8892-616948C5A7FC}" name="Product" dataDxfId="5"/>
    <tableColumn id="5" xr3:uid="{05875C7C-DF55-465B-BBC2-289752FDD7F2}" name="Units Sold" dataDxfId="4"/>
    <tableColumn id="6" xr3:uid="{847E4392-AF1C-4898-B97A-4D1296FD1966}" name="Unit Price" dataDxfId="3"/>
    <tableColumn id="7" xr3:uid="{92AD8694-E695-4A45-84C6-E26900DF120E}" name="Cost of Goods" dataDxfId="2"/>
    <tableColumn id="8" xr3:uid="{AE5157E5-0E4A-4DA0-9BAC-54AE44B17C5F}" name="Total Sales" dataDxfId="1"/>
    <tableColumn id="9" xr3:uid="{68FF2E84-E9D3-44C8-8671-43D1BCE6744A}" name="profit" dataDxfId="0">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ivotTable" Target="../pivotTables/pivotTable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594FE-9357-4EB8-8691-085EBE1DE68C}">
  <sheetPr codeName="Sheet1"/>
  <dimension ref="A6:J35"/>
  <sheetViews>
    <sheetView zoomScale="89" zoomScaleNormal="81" workbookViewId="0">
      <selection activeCell="H9" sqref="H9"/>
    </sheetView>
  </sheetViews>
  <sheetFormatPr defaultRowHeight="14.4" x14ac:dyDescent="0.3"/>
  <cols>
    <col min="1" max="1" width="8.88671875" customWidth="1"/>
    <col min="2" max="2" width="10.44140625" customWidth="1"/>
    <col min="3" max="3" width="12.5546875" customWidth="1"/>
    <col min="4" max="4" width="18.88671875" customWidth="1"/>
    <col min="5" max="5" width="12" customWidth="1"/>
    <col min="6" max="8" width="13.5546875" customWidth="1"/>
    <col min="9" max="9" width="14.5546875" customWidth="1"/>
    <col min="10" max="10" width="17.5546875" customWidth="1"/>
    <col min="14" max="14" width="10.6640625" customWidth="1"/>
    <col min="19" max="19" width="10.6640625" customWidth="1"/>
  </cols>
  <sheetData>
    <row r="6" spans="2:9" x14ac:dyDescent="0.3">
      <c r="D6" s="19" t="s">
        <v>127</v>
      </c>
      <c r="E6" s="20" t="s">
        <v>128</v>
      </c>
      <c r="F6" s="20" t="s">
        <v>129</v>
      </c>
      <c r="G6" s="21" t="s">
        <v>130</v>
      </c>
      <c r="H6" s="21" t="s">
        <v>131</v>
      </c>
      <c r="I6" s="22" t="s">
        <v>40</v>
      </c>
    </row>
    <row r="7" spans="2:9" x14ac:dyDescent="0.3">
      <c r="B7" s="1"/>
      <c r="D7" s="28" t="s">
        <v>2</v>
      </c>
      <c r="E7" s="29">
        <v>46023</v>
      </c>
      <c r="F7" s="29">
        <v>46032</v>
      </c>
      <c r="G7" s="30">
        <v>5000</v>
      </c>
      <c r="H7" s="31" t="s">
        <v>3</v>
      </c>
      <c r="I7" s="32">
        <v>10000</v>
      </c>
    </row>
    <row r="8" spans="2:9" x14ac:dyDescent="0.3">
      <c r="B8" s="1"/>
      <c r="D8" s="23" t="s">
        <v>4</v>
      </c>
      <c r="E8" s="24">
        <v>46064</v>
      </c>
      <c r="F8" s="24">
        <v>46073</v>
      </c>
      <c r="G8" s="25">
        <v>4000</v>
      </c>
      <c r="H8" s="26" t="s">
        <v>5</v>
      </c>
      <c r="I8" s="27">
        <v>20000</v>
      </c>
    </row>
    <row r="9" spans="2:9" x14ac:dyDescent="0.3">
      <c r="B9" s="1"/>
      <c r="D9" s="12" t="s">
        <v>17</v>
      </c>
      <c r="E9" s="14">
        <v>46084</v>
      </c>
      <c r="F9" s="14">
        <v>46091</v>
      </c>
      <c r="G9" s="17">
        <v>3000</v>
      </c>
      <c r="H9" s="12" t="s">
        <v>126</v>
      </c>
      <c r="I9" s="10">
        <v>30000</v>
      </c>
    </row>
    <row r="10" spans="2:9" x14ac:dyDescent="0.3">
      <c r="B10" s="1"/>
      <c r="D10" s="13" t="s">
        <v>20</v>
      </c>
      <c r="E10" s="15">
        <v>46117</v>
      </c>
      <c r="F10" s="16">
        <v>46122</v>
      </c>
      <c r="G10" s="18">
        <v>6000</v>
      </c>
      <c r="H10" s="13" t="s">
        <v>125</v>
      </c>
      <c r="I10" s="11">
        <v>40000</v>
      </c>
    </row>
    <row r="11" spans="2:9" x14ac:dyDescent="0.3">
      <c r="B11" s="1"/>
    </row>
    <row r="12" spans="2:9" x14ac:dyDescent="0.3">
      <c r="B12" s="1"/>
    </row>
    <row r="13" spans="2:9" x14ac:dyDescent="0.3">
      <c r="B13" s="1"/>
    </row>
    <row r="14" spans="2:9" x14ac:dyDescent="0.3">
      <c r="B14" s="1"/>
    </row>
    <row r="15" spans="2:9" x14ac:dyDescent="0.3">
      <c r="B15" s="1"/>
    </row>
    <row r="16" spans="2:9" x14ac:dyDescent="0.3">
      <c r="B16" s="1"/>
      <c r="D16" t="s">
        <v>132</v>
      </c>
    </row>
    <row r="26" spans="10:10" x14ac:dyDescent="0.3">
      <c r="J26" s="3"/>
    </row>
    <row r="35" spans="1:1" x14ac:dyDescent="0.3">
      <c r="A35">
        <v>30</v>
      </c>
    </row>
  </sheetData>
  <phoneticPr fontId="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CE2AA-BDD8-4ABF-AD72-79F033BA3F74}">
  <sheetPr codeName="Sheet2"/>
  <dimension ref="A1:AD7"/>
  <sheetViews>
    <sheetView topLeftCell="A9" zoomScale="93" zoomScaleNormal="60" workbookViewId="0">
      <selection activeCell="P5" sqref="P5"/>
    </sheetView>
  </sheetViews>
  <sheetFormatPr defaultRowHeight="14.4" x14ac:dyDescent="0.3"/>
  <cols>
    <col min="1" max="1" width="12.77734375" customWidth="1"/>
    <col min="2" max="2" width="18.88671875" customWidth="1"/>
    <col min="3" max="3" width="16.77734375" customWidth="1"/>
    <col min="4" max="4" width="15.6640625" customWidth="1"/>
    <col min="5" max="5" width="17.33203125" customWidth="1"/>
    <col min="6" max="6" width="21.6640625" customWidth="1"/>
    <col min="7" max="7" width="19.109375" customWidth="1"/>
    <col min="8" max="8" width="15.88671875" customWidth="1"/>
    <col min="9" max="9" width="18.109375" customWidth="1"/>
    <col min="10" max="10" width="43.88671875" customWidth="1"/>
    <col min="11" max="11" width="47.6640625" customWidth="1"/>
    <col min="12" max="12" width="47.77734375" customWidth="1"/>
    <col min="13" max="13" width="49.88671875" customWidth="1"/>
    <col min="14" max="14" width="47.109375" customWidth="1"/>
    <col min="15" max="15" width="93" customWidth="1"/>
    <col min="16" max="16" width="82.88671875" customWidth="1"/>
  </cols>
  <sheetData>
    <row r="1" spans="1:30" x14ac:dyDescent="0.3">
      <c r="A1" s="69" t="s">
        <v>221</v>
      </c>
      <c r="B1" s="69" t="s">
        <v>222</v>
      </c>
      <c r="C1" s="69" t="s">
        <v>223</v>
      </c>
      <c r="D1" s="69" t="s">
        <v>224</v>
      </c>
      <c r="E1" s="69" t="s">
        <v>225</v>
      </c>
      <c r="F1" s="69" t="s">
        <v>226</v>
      </c>
      <c r="G1" s="69" t="s">
        <v>233</v>
      </c>
      <c r="H1" s="69" t="s">
        <v>234</v>
      </c>
      <c r="I1" s="69" t="s">
        <v>235</v>
      </c>
      <c r="J1" s="69" t="s">
        <v>240</v>
      </c>
      <c r="K1" s="69" t="s">
        <v>241</v>
      </c>
      <c r="L1" s="69" t="s">
        <v>242</v>
      </c>
      <c r="M1" s="69" t="s">
        <v>243</v>
      </c>
      <c r="N1" s="69" t="s">
        <v>244</v>
      </c>
      <c r="O1" s="69" t="s">
        <v>245</v>
      </c>
      <c r="P1" s="69" t="s">
        <v>246</v>
      </c>
    </row>
    <row r="2" spans="1:30" x14ac:dyDescent="0.3">
      <c r="A2" s="69"/>
      <c r="B2" s="69"/>
      <c r="C2" s="69"/>
      <c r="D2" s="69"/>
      <c r="E2" s="69"/>
      <c r="F2" s="69"/>
      <c r="G2" s="69"/>
      <c r="H2" s="69"/>
      <c r="I2" s="69"/>
      <c r="J2" s="69"/>
      <c r="K2" s="69"/>
      <c r="L2" s="69"/>
      <c r="M2" s="69"/>
      <c r="N2" s="69"/>
      <c r="O2" s="69"/>
      <c r="P2" s="69"/>
    </row>
    <row r="3" spans="1:30" x14ac:dyDescent="0.3">
      <c r="A3">
        <v>101</v>
      </c>
      <c r="B3" s="39" t="s">
        <v>227</v>
      </c>
      <c r="C3" s="39" t="s">
        <v>232</v>
      </c>
      <c r="D3" s="39">
        <v>10</v>
      </c>
      <c r="E3" s="39">
        <v>5</v>
      </c>
      <c r="F3" s="39">
        <v>0.05</v>
      </c>
      <c r="G3" s="39">
        <v>0.18</v>
      </c>
      <c r="H3" s="40">
        <v>45778</v>
      </c>
      <c r="I3" s="39" t="s">
        <v>236</v>
      </c>
      <c r="J3" s="39">
        <f>D3*E3</f>
        <v>50</v>
      </c>
      <c r="K3" s="39">
        <f>J3*F3</f>
        <v>2.5</v>
      </c>
      <c r="L3" s="39">
        <f>J3-K3</f>
        <v>47.5</v>
      </c>
      <c r="M3" s="39">
        <f>L3*G3</f>
        <v>8.5499999999999989</v>
      </c>
      <c r="N3" s="39" t="s">
        <v>247</v>
      </c>
      <c r="O3">
        <f>SUMIF(I3:I7,"new york",E3:E7)</f>
        <v>12</v>
      </c>
      <c r="P3">
        <f>L3*G3</f>
        <v>8.5499999999999989</v>
      </c>
      <c r="W3" s="39"/>
      <c r="X3" s="39"/>
      <c r="Y3" s="39"/>
      <c r="Z3" s="39"/>
      <c r="AA3" s="39"/>
      <c r="AB3" s="39"/>
      <c r="AC3" s="39"/>
      <c r="AD3" s="39"/>
    </row>
    <row r="4" spans="1:30" x14ac:dyDescent="0.3">
      <c r="A4">
        <v>102</v>
      </c>
      <c r="B4" s="39" t="s">
        <v>228</v>
      </c>
      <c r="C4" s="39" t="s">
        <v>232</v>
      </c>
      <c r="D4" s="39">
        <v>15</v>
      </c>
      <c r="E4" s="39">
        <v>3</v>
      </c>
      <c r="F4" s="39">
        <v>0.1</v>
      </c>
      <c r="G4" s="39"/>
      <c r="H4" s="40">
        <v>45780</v>
      </c>
      <c r="I4" s="39" t="s">
        <v>237</v>
      </c>
      <c r="J4" s="39">
        <f t="shared" ref="J4:J7" si="0">D4*E4</f>
        <v>45</v>
      </c>
      <c r="K4" s="39">
        <f t="shared" ref="K4:K7" si="1">J4*F4</f>
        <v>4.5</v>
      </c>
      <c r="L4" s="39">
        <f t="shared" ref="L4:L7" si="2">J4-K4</f>
        <v>40.5</v>
      </c>
      <c r="M4" s="39">
        <f t="shared" ref="M4:M7" si="3">L4*G4</f>
        <v>0</v>
      </c>
      <c r="N4" s="39">
        <f t="shared" ref="N4:N7" si="4">L4+M4</f>
        <v>40.5</v>
      </c>
      <c r="O4" t="s">
        <v>12</v>
      </c>
      <c r="P4">
        <f>P3*$G$3</f>
        <v>1.5389999999999997</v>
      </c>
      <c r="V4" s="39"/>
      <c r="W4" s="39"/>
      <c r="X4" s="39"/>
      <c r="Y4" s="39"/>
      <c r="Z4" s="39"/>
      <c r="AA4" s="39"/>
      <c r="AB4" s="39"/>
      <c r="AC4" s="39"/>
      <c r="AD4" s="39"/>
    </row>
    <row r="5" spans="1:30" x14ac:dyDescent="0.3">
      <c r="A5">
        <v>103</v>
      </c>
      <c r="B5" s="39" t="s">
        <v>229</v>
      </c>
      <c r="C5" s="39" t="s">
        <v>232</v>
      </c>
      <c r="D5" s="39">
        <v>8</v>
      </c>
      <c r="E5" s="39">
        <v>6</v>
      </c>
      <c r="F5" s="39">
        <v>0</v>
      </c>
      <c r="G5" s="39"/>
      <c r="H5" s="40">
        <v>45782</v>
      </c>
      <c r="I5" s="39" t="s">
        <v>238</v>
      </c>
      <c r="J5" s="39">
        <f t="shared" si="0"/>
        <v>48</v>
      </c>
      <c r="K5" s="39">
        <f t="shared" si="1"/>
        <v>0</v>
      </c>
      <c r="L5" s="39">
        <f t="shared" si="2"/>
        <v>48</v>
      </c>
      <c r="M5" s="39">
        <f t="shared" si="3"/>
        <v>0</v>
      </c>
      <c r="N5" s="39">
        <f t="shared" si="4"/>
        <v>48</v>
      </c>
      <c r="P5">
        <f t="shared" ref="P5:P7" si="5">P4*$G$3</f>
        <v>0.27701999999999993</v>
      </c>
      <c r="V5" s="39"/>
      <c r="W5" s="39"/>
      <c r="X5" s="39"/>
      <c r="Y5" s="39"/>
      <c r="Z5" s="39"/>
      <c r="AA5" s="39"/>
      <c r="AB5" s="39"/>
      <c r="AC5" s="39"/>
      <c r="AD5" s="39"/>
    </row>
    <row r="6" spans="1:30" x14ac:dyDescent="0.3">
      <c r="A6">
        <v>104</v>
      </c>
      <c r="B6" s="39" t="s">
        <v>230</v>
      </c>
      <c r="C6" s="39" t="s">
        <v>232</v>
      </c>
      <c r="D6" s="39">
        <v>12</v>
      </c>
      <c r="E6" s="39">
        <v>4</v>
      </c>
      <c r="F6" s="39">
        <v>0.7</v>
      </c>
      <c r="G6" s="39"/>
      <c r="H6" s="40">
        <v>45784</v>
      </c>
      <c r="I6" s="39" t="s">
        <v>239</v>
      </c>
      <c r="J6" s="39">
        <f t="shared" si="0"/>
        <v>48</v>
      </c>
      <c r="K6" s="39">
        <f t="shared" si="1"/>
        <v>33.599999999999994</v>
      </c>
      <c r="L6" s="39">
        <f t="shared" si="2"/>
        <v>14.400000000000006</v>
      </c>
      <c r="M6" s="39">
        <f t="shared" si="3"/>
        <v>0</v>
      </c>
      <c r="N6" s="39">
        <f t="shared" si="4"/>
        <v>14.400000000000006</v>
      </c>
      <c r="P6">
        <f t="shared" si="5"/>
        <v>4.9863599999999987E-2</v>
      </c>
      <c r="V6" s="39"/>
      <c r="W6" s="39"/>
      <c r="X6" s="39"/>
      <c r="Y6" s="39"/>
      <c r="Z6" s="39"/>
      <c r="AA6" s="39"/>
      <c r="AB6" s="39"/>
      <c r="AC6" s="39"/>
      <c r="AD6" s="39"/>
    </row>
    <row r="7" spans="1:30" x14ac:dyDescent="0.3">
      <c r="A7">
        <v>105</v>
      </c>
      <c r="B7" s="39" t="s">
        <v>231</v>
      </c>
      <c r="C7" s="39" t="s">
        <v>232</v>
      </c>
      <c r="D7" s="39">
        <v>11</v>
      </c>
      <c r="E7" s="39">
        <v>7</v>
      </c>
      <c r="F7" s="39">
        <v>0.03</v>
      </c>
      <c r="G7" s="39"/>
      <c r="H7" s="2">
        <v>45786</v>
      </c>
      <c r="I7" s="39" t="s">
        <v>236</v>
      </c>
      <c r="J7" s="39">
        <f t="shared" si="0"/>
        <v>77</v>
      </c>
      <c r="K7" s="39">
        <f t="shared" si="1"/>
        <v>2.31</v>
      </c>
      <c r="L7" s="39">
        <f t="shared" si="2"/>
        <v>74.69</v>
      </c>
      <c r="M7" s="39">
        <f t="shared" si="3"/>
        <v>0</v>
      </c>
      <c r="N7" s="39">
        <f t="shared" si="4"/>
        <v>74.69</v>
      </c>
      <c r="P7">
        <f t="shared" si="5"/>
        <v>8.975447999999997E-3</v>
      </c>
    </row>
  </sheetData>
  <mergeCells count="16">
    <mergeCell ref="P1:P2"/>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6FBBD-F001-4B90-90F1-E7A1084EF7D1}">
  <sheetPr codeName="Sheet3"/>
  <dimension ref="A1:X47"/>
  <sheetViews>
    <sheetView zoomScale="75" workbookViewId="0">
      <selection activeCell="C47" sqref="C47"/>
    </sheetView>
  </sheetViews>
  <sheetFormatPr defaultRowHeight="14.4" x14ac:dyDescent="0.3"/>
  <cols>
    <col min="1" max="1" width="9" customWidth="1"/>
    <col min="2" max="2" width="13.109375" customWidth="1"/>
    <col min="3" max="3" width="12.33203125" customWidth="1"/>
    <col min="4" max="8" width="12.44140625" customWidth="1"/>
    <col min="9" max="9" width="0.44140625" hidden="1" customWidth="1"/>
    <col min="10" max="10" width="14.44140625" customWidth="1"/>
    <col min="11" max="11" width="12.44140625" customWidth="1"/>
    <col min="13" max="13" width="9" customWidth="1"/>
  </cols>
  <sheetData>
    <row r="1" spans="1:11" x14ac:dyDescent="0.3">
      <c r="A1" t="s">
        <v>6</v>
      </c>
      <c r="B1" t="s">
        <v>7</v>
      </c>
      <c r="C1" t="s">
        <v>8</v>
      </c>
      <c r="F1" t="s">
        <v>11</v>
      </c>
      <c r="G1">
        <v>0.77</v>
      </c>
    </row>
    <row r="2" spans="1:11" x14ac:dyDescent="0.3">
      <c r="A2">
        <v>11</v>
      </c>
      <c r="B2">
        <v>3</v>
      </c>
      <c r="C2">
        <f>A2+B2</f>
        <v>14</v>
      </c>
    </row>
    <row r="3" spans="1:11" x14ac:dyDescent="0.3">
      <c r="A3">
        <v>11</v>
      </c>
      <c r="B3">
        <v>13</v>
      </c>
      <c r="C3">
        <f t="shared" ref="C3:C12" si="0">A3+B3</f>
        <v>24</v>
      </c>
      <c r="F3" t="s">
        <v>9</v>
      </c>
      <c r="G3" t="s">
        <v>10</v>
      </c>
    </row>
    <row r="4" spans="1:11" x14ac:dyDescent="0.3">
      <c r="A4">
        <v>10</v>
      </c>
      <c r="B4">
        <v>12</v>
      </c>
      <c r="C4">
        <f t="shared" si="0"/>
        <v>22</v>
      </c>
      <c r="F4" s="3">
        <v>10185</v>
      </c>
      <c r="G4" s="3" t="s">
        <v>12</v>
      </c>
      <c r="I4" s="3"/>
      <c r="J4" s="3">
        <v>10185</v>
      </c>
      <c r="K4" s="3">
        <f>F4*$G$1</f>
        <v>7842.45</v>
      </c>
    </row>
    <row r="5" spans="1:11" x14ac:dyDescent="0.3">
      <c r="A5">
        <v>17</v>
      </c>
      <c r="B5">
        <v>11</v>
      </c>
      <c r="C5">
        <f t="shared" si="0"/>
        <v>28</v>
      </c>
      <c r="F5" s="3">
        <v>10185</v>
      </c>
      <c r="G5" s="3">
        <f t="shared" ref="G5:G12" si="1">F5*$G$1</f>
        <v>7842.45</v>
      </c>
      <c r="I5" s="3"/>
      <c r="J5" s="3">
        <v>10185</v>
      </c>
      <c r="K5" s="3">
        <f t="shared" ref="K5:K12" si="2">F5*$G$1</f>
        <v>7842.45</v>
      </c>
    </row>
    <row r="6" spans="1:11" x14ac:dyDescent="0.3">
      <c r="A6">
        <v>19</v>
      </c>
      <c r="B6">
        <v>6</v>
      </c>
      <c r="C6">
        <f t="shared" si="0"/>
        <v>25</v>
      </c>
      <c r="F6" s="3">
        <v>10185</v>
      </c>
      <c r="G6" s="3">
        <f t="shared" si="1"/>
        <v>7842.45</v>
      </c>
      <c r="I6" s="3"/>
      <c r="J6" s="3">
        <v>10185</v>
      </c>
      <c r="K6" s="3">
        <f t="shared" si="2"/>
        <v>7842.45</v>
      </c>
    </row>
    <row r="7" spans="1:11" x14ac:dyDescent="0.3">
      <c r="A7">
        <v>20</v>
      </c>
      <c r="B7">
        <v>14</v>
      </c>
      <c r="C7">
        <f t="shared" si="0"/>
        <v>34</v>
      </c>
      <c r="F7" s="3">
        <v>10185</v>
      </c>
      <c r="G7" s="3">
        <f t="shared" si="1"/>
        <v>7842.45</v>
      </c>
      <c r="I7" s="3"/>
      <c r="J7" s="3">
        <v>10185</v>
      </c>
      <c r="K7" s="3">
        <f t="shared" si="2"/>
        <v>7842.45</v>
      </c>
    </row>
    <row r="8" spans="1:11" x14ac:dyDescent="0.3">
      <c r="A8">
        <v>13</v>
      </c>
      <c r="B8">
        <v>13</v>
      </c>
      <c r="C8">
        <f t="shared" si="0"/>
        <v>26</v>
      </c>
      <c r="F8" s="3">
        <v>10185</v>
      </c>
      <c r="G8" s="3">
        <f t="shared" si="1"/>
        <v>7842.45</v>
      </c>
      <c r="I8" s="3"/>
      <c r="J8" s="3">
        <v>10185</v>
      </c>
      <c r="K8" s="3">
        <f t="shared" si="2"/>
        <v>7842.45</v>
      </c>
    </row>
    <row r="9" spans="1:11" x14ac:dyDescent="0.3">
      <c r="A9">
        <v>9</v>
      </c>
      <c r="B9">
        <v>12</v>
      </c>
      <c r="C9">
        <f t="shared" si="0"/>
        <v>21</v>
      </c>
      <c r="F9" s="3">
        <v>10185</v>
      </c>
      <c r="G9" s="3">
        <f t="shared" si="1"/>
        <v>7842.45</v>
      </c>
      <c r="I9" s="3"/>
      <c r="J9" s="3">
        <v>10185</v>
      </c>
      <c r="K9" s="3">
        <f t="shared" si="2"/>
        <v>7842.45</v>
      </c>
    </row>
    <row r="10" spans="1:11" x14ac:dyDescent="0.3">
      <c r="A10">
        <v>4</v>
      </c>
      <c r="B10">
        <v>7</v>
      </c>
      <c r="C10">
        <f t="shared" si="0"/>
        <v>11</v>
      </c>
      <c r="F10" s="3">
        <v>10185</v>
      </c>
      <c r="G10" s="3">
        <f t="shared" si="1"/>
        <v>7842.45</v>
      </c>
      <c r="I10" s="3"/>
      <c r="J10" s="3">
        <v>10185</v>
      </c>
      <c r="K10" s="3">
        <f t="shared" si="2"/>
        <v>7842.45</v>
      </c>
    </row>
    <row r="11" spans="1:11" x14ac:dyDescent="0.3">
      <c r="A11">
        <v>8</v>
      </c>
      <c r="B11">
        <v>8</v>
      </c>
      <c r="C11">
        <f t="shared" si="0"/>
        <v>16</v>
      </c>
      <c r="F11" s="3">
        <v>10185</v>
      </c>
      <c r="G11" s="3">
        <f t="shared" si="1"/>
        <v>7842.45</v>
      </c>
      <c r="I11" s="3"/>
      <c r="J11" s="3">
        <v>10185</v>
      </c>
      <c r="K11" s="3">
        <f t="shared" si="2"/>
        <v>7842.45</v>
      </c>
    </row>
    <row r="12" spans="1:11" x14ac:dyDescent="0.3">
      <c r="A12">
        <v>15</v>
      </c>
      <c r="B12">
        <v>9</v>
      </c>
      <c r="C12">
        <f t="shared" si="0"/>
        <v>24</v>
      </c>
      <c r="F12" s="3">
        <v>10185</v>
      </c>
      <c r="G12" s="3">
        <f t="shared" si="1"/>
        <v>7842.45</v>
      </c>
      <c r="I12" s="3"/>
      <c r="J12" s="3">
        <v>10185</v>
      </c>
      <c r="K12" s="3">
        <f t="shared" si="2"/>
        <v>7842.45</v>
      </c>
    </row>
    <row r="15" spans="1:11" x14ac:dyDescent="0.3">
      <c r="F15" s="3">
        <v>10185</v>
      </c>
      <c r="G15" s="3">
        <f>F15*$G$1</f>
        <v>7842.45</v>
      </c>
    </row>
    <row r="16" spans="1:11" x14ac:dyDescent="0.3">
      <c r="F16" s="3">
        <v>10185</v>
      </c>
    </row>
    <row r="17" spans="1:24" x14ac:dyDescent="0.3">
      <c r="F17" s="3">
        <v>10185</v>
      </c>
    </row>
    <row r="18" spans="1:24" x14ac:dyDescent="0.3">
      <c r="F18" s="3">
        <v>10185</v>
      </c>
    </row>
    <row r="19" spans="1:24" x14ac:dyDescent="0.3">
      <c r="F19" s="3">
        <v>10185</v>
      </c>
    </row>
    <row r="20" spans="1:24" x14ac:dyDescent="0.3">
      <c r="F20" s="3">
        <v>10185</v>
      </c>
    </row>
    <row r="21" spans="1:24" x14ac:dyDescent="0.3">
      <c r="F21" s="3">
        <v>10185</v>
      </c>
    </row>
    <row r="22" spans="1:24" x14ac:dyDescent="0.3">
      <c r="F22" s="3">
        <v>10185</v>
      </c>
    </row>
    <row r="23" spans="1:24" x14ac:dyDescent="0.3">
      <c r="F23" s="3">
        <v>10185</v>
      </c>
    </row>
    <row r="26" spans="1:24" x14ac:dyDescent="0.3">
      <c r="N26">
        <v>1</v>
      </c>
      <c r="O26">
        <v>2</v>
      </c>
      <c r="P26">
        <v>3</v>
      </c>
      <c r="Q26">
        <v>4</v>
      </c>
      <c r="R26">
        <v>5</v>
      </c>
      <c r="S26">
        <v>6</v>
      </c>
      <c r="T26">
        <v>7</v>
      </c>
      <c r="U26">
        <v>8</v>
      </c>
      <c r="V26">
        <v>9</v>
      </c>
      <c r="W26">
        <v>10</v>
      </c>
    </row>
    <row r="27" spans="1:24" x14ac:dyDescent="0.3">
      <c r="B27">
        <v>1</v>
      </c>
      <c r="C27">
        <v>2</v>
      </c>
      <c r="D27">
        <v>3</v>
      </c>
      <c r="E27">
        <v>4</v>
      </c>
      <c r="F27">
        <v>5</v>
      </c>
      <c r="G27">
        <v>6</v>
      </c>
      <c r="H27">
        <v>7</v>
      </c>
      <c r="I27">
        <v>8</v>
      </c>
      <c r="J27">
        <v>9</v>
      </c>
      <c r="K27">
        <v>10</v>
      </c>
      <c r="M27">
        <v>1</v>
      </c>
      <c r="N27">
        <f>M27*N$26</f>
        <v>1</v>
      </c>
      <c r="O27">
        <f t="shared" ref="O27:X27" si="3">N27*O$26</f>
        <v>2</v>
      </c>
      <c r="P27">
        <f t="shared" si="3"/>
        <v>6</v>
      </c>
      <c r="Q27">
        <f t="shared" si="3"/>
        <v>24</v>
      </c>
      <c r="R27">
        <f t="shared" si="3"/>
        <v>120</v>
      </c>
      <c r="S27">
        <f t="shared" si="3"/>
        <v>720</v>
      </c>
      <c r="T27">
        <f t="shared" si="3"/>
        <v>5040</v>
      </c>
      <c r="U27">
        <f t="shared" si="3"/>
        <v>40320</v>
      </c>
      <c r="V27">
        <f t="shared" si="3"/>
        <v>362880</v>
      </c>
      <c r="W27">
        <f t="shared" si="3"/>
        <v>3628800</v>
      </c>
      <c r="X27">
        <f t="shared" si="3"/>
        <v>0</v>
      </c>
    </row>
    <row r="28" spans="1:24" x14ac:dyDescent="0.3">
      <c r="A28">
        <v>1</v>
      </c>
      <c r="B28">
        <v>1</v>
      </c>
      <c r="C28">
        <f t="shared" ref="C28:K28" si="4">$A28*C$27</f>
        <v>2</v>
      </c>
      <c r="D28">
        <f t="shared" si="4"/>
        <v>3</v>
      </c>
      <c r="E28">
        <f t="shared" si="4"/>
        <v>4</v>
      </c>
      <c r="F28">
        <f t="shared" si="4"/>
        <v>5</v>
      </c>
      <c r="G28">
        <f t="shared" si="4"/>
        <v>6</v>
      </c>
      <c r="H28">
        <f t="shared" si="4"/>
        <v>7</v>
      </c>
      <c r="I28">
        <f t="shared" si="4"/>
        <v>8</v>
      </c>
      <c r="J28">
        <f t="shared" si="4"/>
        <v>9</v>
      </c>
      <c r="K28">
        <f t="shared" si="4"/>
        <v>10</v>
      </c>
      <c r="M28">
        <v>2</v>
      </c>
      <c r="N28">
        <f t="shared" ref="N28:X36" si="5">M28*N$26</f>
        <v>2</v>
      </c>
      <c r="O28">
        <f t="shared" si="5"/>
        <v>4</v>
      </c>
      <c r="P28">
        <f t="shared" si="5"/>
        <v>12</v>
      </c>
      <c r="Q28">
        <f t="shared" si="5"/>
        <v>48</v>
      </c>
      <c r="R28">
        <f t="shared" si="5"/>
        <v>240</v>
      </c>
      <c r="S28">
        <f t="shared" si="5"/>
        <v>1440</v>
      </c>
      <c r="T28">
        <f t="shared" si="5"/>
        <v>10080</v>
      </c>
      <c r="U28">
        <f t="shared" si="5"/>
        <v>80640</v>
      </c>
      <c r="V28">
        <f t="shared" si="5"/>
        <v>725760</v>
      </c>
      <c r="W28">
        <f t="shared" si="5"/>
        <v>7257600</v>
      </c>
      <c r="X28">
        <f t="shared" si="5"/>
        <v>0</v>
      </c>
    </row>
    <row r="29" spans="1:24" x14ac:dyDescent="0.3">
      <c r="A29">
        <v>2</v>
      </c>
      <c r="B29">
        <f t="shared" ref="B29:K36" si="6">$A29*B$27</f>
        <v>2</v>
      </c>
      <c r="C29">
        <f t="shared" si="6"/>
        <v>4</v>
      </c>
      <c r="D29">
        <f t="shared" si="6"/>
        <v>6</v>
      </c>
      <c r="E29">
        <f t="shared" si="6"/>
        <v>8</v>
      </c>
      <c r="F29">
        <f t="shared" si="6"/>
        <v>10</v>
      </c>
      <c r="G29">
        <f t="shared" si="6"/>
        <v>12</v>
      </c>
      <c r="H29">
        <f t="shared" si="6"/>
        <v>14</v>
      </c>
      <c r="I29">
        <f t="shared" si="6"/>
        <v>16</v>
      </c>
      <c r="J29">
        <f t="shared" si="6"/>
        <v>18</v>
      </c>
      <c r="K29">
        <f t="shared" si="6"/>
        <v>20</v>
      </c>
      <c r="M29">
        <v>3</v>
      </c>
      <c r="N29">
        <f t="shared" si="5"/>
        <v>3</v>
      </c>
      <c r="O29">
        <f t="shared" si="5"/>
        <v>6</v>
      </c>
      <c r="P29">
        <f t="shared" si="5"/>
        <v>18</v>
      </c>
      <c r="Q29">
        <f t="shared" si="5"/>
        <v>72</v>
      </c>
      <c r="R29">
        <f t="shared" si="5"/>
        <v>360</v>
      </c>
      <c r="S29">
        <f t="shared" si="5"/>
        <v>2160</v>
      </c>
      <c r="T29">
        <f t="shared" si="5"/>
        <v>15120</v>
      </c>
      <c r="U29">
        <f t="shared" si="5"/>
        <v>120960</v>
      </c>
      <c r="V29">
        <f t="shared" si="5"/>
        <v>1088640</v>
      </c>
      <c r="W29">
        <f t="shared" si="5"/>
        <v>10886400</v>
      </c>
      <c r="X29">
        <f t="shared" si="5"/>
        <v>0</v>
      </c>
    </row>
    <row r="30" spans="1:24" x14ac:dyDescent="0.3">
      <c r="A30">
        <v>3</v>
      </c>
      <c r="B30">
        <f t="shared" si="6"/>
        <v>3</v>
      </c>
      <c r="C30">
        <f t="shared" si="6"/>
        <v>6</v>
      </c>
      <c r="D30">
        <f t="shared" si="6"/>
        <v>9</v>
      </c>
      <c r="E30">
        <f t="shared" si="6"/>
        <v>12</v>
      </c>
      <c r="F30">
        <f t="shared" si="6"/>
        <v>15</v>
      </c>
      <c r="G30">
        <f t="shared" si="6"/>
        <v>18</v>
      </c>
      <c r="H30">
        <f t="shared" si="6"/>
        <v>21</v>
      </c>
      <c r="I30">
        <f t="shared" si="6"/>
        <v>24</v>
      </c>
      <c r="J30">
        <f t="shared" si="6"/>
        <v>27</v>
      </c>
      <c r="K30">
        <f t="shared" si="6"/>
        <v>30</v>
      </c>
      <c r="M30">
        <v>4</v>
      </c>
      <c r="N30">
        <f t="shared" si="5"/>
        <v>4</v>
      </c>
      <c r="O30">
        <f t="shared" si="5"/>
        <v>8</v>
      </c>
      <c r="P30">
        <f t="shared" si="5"/>
        <v>24</v>
      </c>
      <c r="Q30">
        <f t="shared" si="5"/>
        <v>96</v>
      </c>
      <c r="R30">
        <f t="shared" si="5"/>
        <v>480</v>
      </c>
      <c r="S30">
        <f t="shared" si="5"/>
        <v>2880</v>
      </c>
      <c r="T30">
        <f t="shared" si="5"/>
        <v>20160</v>
      </c>
      <c r="U30">
        <f t="shared" si="5"/>
        <v>161280</v>
      </c>
      <c r="V30">
        <f t="shared" si="5"/>
        <v>1451520</v>
      </c>
      <c r="W30">
        <f t="shared" si="5"/>
        <v>14515200</v>
      </c>
      <c r="X30">
        <f t="shared" si="5"/>
        <v>0</v>
      </c>
    </row>
    <row r="31" spans="1:24" x14ac:dyDescent="0.3">
      <c r="A31">
        <v>4</v>
      </c>
      <c r="B31">
        <f t="shared" si="6"/>
        <v>4</v>
      </c>
      <c r="C31">
        <f t="shared" si="6"/>
        <v>8</v>
      </c>
      <c r="D31">
        <f t="shared" si="6"/>
        <v>12</v>
      </c>
      <c r="E31">
        <f t="shared" si="6"/>
        <v>16</v>
      </c>
      <c r="F31">
        <f t="shared" si="6"/>
        <v>20</v>
      </c>
      <c r="G31">
        <f t="shared" si="6"/>
        <v>24</v>
      </c>
      <c r="H31">
        <f t="shared" si="6"/>
        <v>28</v>
      </c>
      <c r="I31">
        <f t="shared" si="6"/>
        <v>32</v>
      </c>
      <c r="J31">
        <f t="shared" si="6"/>
        <v>36</v>
      </c>
      <c r="K31">
        <f t="shared" si="6"/>
        <v>40</v>
      </c>
      <c r="M31">
        <v>5</v>
      </c>
      <c r="N31">
        <f t="shared" si="5"/>
        <v>5</v>
      </c>
      <c r="O31">
        <f t="shared" si="5"/>
        <v>10</v>
      </c>
      <c r="P31">
        <f t="shared" si="5"/>
        <v>30</v>
      </c>
      <c r="Q31">
        <f t="shared" si="5"/>
        <v>120</v>
      </c>
      <c r="R31">
        <f t="shared" si="5"/>
        <v>600</v>
      </c>
      <c r="S31">
        <f t="shared" si="5"/>
        <v>3600</v>
      </c>
      <c r="T31">
        <f t="shared" si="5"/>
        <v>25200</v>
      </c>
      <c r="U31">
        <f t="shared" si="5"/>
        <v>201600</v>
      </c>
      <c r="V31">
        <f t="shared" si="5"/>
        <v>1814400</v>
      </c>
      <c r="W31">
        <f t="shared" si="5"/>
        <v>18144000</v>
      </c>
      <c r="X31">
        <f t="shared" si="5"/>
        <v>0</v>
      </c>
    </row>
    <row r="32" spans="1:24" x14ac:dyDescent="0.3">
      <c r="A32">
        <v>5</v>
      </c>
      <c r="B32">
        <f t="shared" si="6"/>
        <v>5</v>
      </c>
      <c r="C32">
        <f t="shared" si="6"/>
        <v>10</v>
      </c>
      <c r="D32">
        <f t="shared" si="6"/>
        <v>15</v>
      </c>
      <c r="E32">
        <f t="shared" si="6"/>
        <v>20</v>
      </c>
      <c r="F32">
        <f t="shared" si="6"/>
        <v>25</v>
      </c>
      <c r="G32">
        <f t="shared" si="6"/>
        <v>30</v>
      </c>
      <c r="H32">
        <f t="shared" si="6"/>
        <v>35</v>
      </c>
      <c r="I32">
        <f t="shared" si="6"/>
        <v>40</v>
      </c>
      <c r="J32">
        <f t="shared" si="6"/>
        <v>45</v>
      </c>
      <c r="K32">
        <f t="shared" si="6"/>
        <v>50</v>
      </c>
      <c r="M32">
        <v>6</v>
      </c>
      <c r="N32">
        <f t="shared" si="5"/>
        <v>6</v>
      </c>
      <c r="O32">
        <f t="shared" si="5"/>
        <v>12</v>
      </c>
      <c r="P32">
        <f t="shared" si="5"/>
        <v>36</v>
      </c>
      <c r="Q32">
        <f t="shared" si="5"/>
        <v>144</v>
      </c>
      <c r="R32">
        <f t="shared" si="5"/>
        <v>720</v>
      </c>
      <c r="S32">
        <f t="shared" si="5"/>
        <v>4320</v>
      </c>
      <c r="T32">
        <f t="shared" si="5"/>
        <v>30240</v>
      </c>
      <c r="U32">
        <f t="shared" si="5"/>
        <v>241920</v>
      </c>
      <c r="V32">
        <f t="shared" si="5"/>
        <v>2177280</v>
      </c>
      <c r="W32">
        <f t="shared" si="5"/>
        <v>21772800</v>
      </c>
      <c r="X32">
        <f t="shared" si="5"/>
        <v>0</v>
      </c>
    </row>
    <row r="33" spans="1:24" x14ac:dyDescent="0.3">
      <c r="A33">
        <v>6</v>
      </c>
      <c r="B33">
        <f t="shared" si="6"/>
        <v>6</v>
      </c>
      <c r="C33">
        <f t="shared" si="6"/>
        <v>12</v>
      </c>
      <c r="D33">
        <f t="shared" si="6"/>
        <v>18</v>
      </c>
      <c r="E33">
        <f t="shared" si="6"/>
        <v>24</v>
      </c>
      <c r="F33">
        <f t="shared" si="6"/>
        <v>30</v>
      </c>
      <c r="G33">
        <f t="shared" si="6"/>
        <v>36</v>
      </c>
      <c r="H33">
        <f t="shared" si="6"/>
        <v>42</v>
      </c>
      <c r="I33">
        <f t="shared" si="6"/>
        <v>48</v>
      </c>
      <c r="J33">
        <f t="shared" si="6"/>
        <v>54</v>
      </c>
      <c r="K33">
        <f t="shared" si="6"/>
        <v>60</v>
      </c>
      <c r="M33">
        <v>7</v>
      </c>
      <c r="N33">
        <f t="shared" si="5"/>
        <v>7</v>
      </c>
      <c r="O33">
        <f t="shared" si="5"/>
        <v>14</v>
      </c>
      <c r="P33">
        <f t="shared" si="5"/>
        <v>42</v>
      </c>
      <c r="Q33">
        <f t="shared" si="5"/>
        <v>168</v>
      </c>
      <c r="R33">
        <f t="shared" si="5"/>
        <v>840</v>
      </c>
      <c r="S33">
        <f t="shared" si="5"/>
        <v>5040</v>
      </c>
      <c r="T33">
        <f t="shared" si="5"/>
        <v>35280</v>
      </c>
      <c r="U33">
        <f t="shared" si="5"/>
        <v>282240</v>
      </c>
      <c r="V33">
        <f t="shared" si="5"/>
        <v>2540160</v>
      </c>
      <c r="W33">
        <f t="shared" si="5"/>
        <v>25401600</v>
      </c>
      <c r="X33">
        <f t="shared" si="5"/>
        <v>0</v>
      </c>
    </row>
    <row r="34" spans="1:24" x14ac:dyDescent="0.3">
      <c r="A34">
        <v>7</v>
      </c>
      <c r="B34">
        <f t="shared" si="6"/>
        <v>7</v>
      </c>
      <c r="C34">
        <f t="shared" si="6"/>
        <v>14</v>
      </c>
      <c r="D34">
        <f t="shared" si="6"/>
        <v>21</v>
      </c>
      <c r="E34">
        <f t="shared" si="6"/>
        <v>28</v>
      </c>
      <c r="F34">
        <f t="shared" si="6"/>
        <v>35</v>
      </c>
      <c r="G34">
        <f t="shared" si="6"/>
        <v>42</v>
      </c>
      <c r="H34">
        <f t="shared" si="6"/>
        <v>49</v>
      </c>
      <c r="I34">
        <f t="shared" si="6"/>
        <v>56</v>
      </c>
      <c r="J34">
        <f t="shared" si="6"/>
        <v>63</v>
      </c>
      <c r="K34">
        <f t="shared" si="6"/>
        <v>70</v>
      </c>
      <c r="M34">
        <v>8</v>
      </c>
      <c r="N34">
        <f t="shared" si="5"/>
        <v>8</v>
      </c>
      <c r="O34">
        <f t="shared" si="5"/>
        <v>16</v>
      </c>
      <c r="P34">
        <f t="shared" si="5"/>
        <v>48</v>
      </c>
      <c r="Q34">
        <f t="shared" si="5"/>
        <v>192</v>
      </c>
      <c r="R34">
        <f t="shared" si="5"/>
        <v>960</v>
      </c>
      <c r="S34">
        <f t="shared" si="5"/>
        <v>5760</v>
      </c>
      <c r="T34">
        <f t="shared" si="5"/>
        <v>40320</v>
      </c>
      <c r="U34">
        <f t="shared" si="5"/>
        <v>322560</v>
      </c>
      <c r="V34">
        <f t="shared" si="5"/>
        <v>2903040</v>
      </c>
      <c r="W34">
        <f t="shared" si="5"/>
        <v>29030400</v>
      </c>
      <c r="X34">
        <f t="shared" si="5"/>
        <v>0</v>
      </c>
    </row>
    <row r="35" spans="1:24" x14ac:dyDescent="0.3">
      <c r="A35">
        <v>8</v>
      </c>
      <c r="B35">
        <f t="shared" si="6"/>
        <v>8</v>
      </c>
      <c r="C35">
        <f t="shared" si="6"/>
        <v>16</v>
      </c>
      <c r="D35">
        <f t="shared" si="6"/>
        <v>24</v>
      </c>
      <c r="E35">
        <f t="shared" si="6"/>
        <v>32</v>
      </c>
      <c r="F35">
        <f t="shared" si="6"/>
        <v>40</v>
      </c>
      <c r="G35">
        <f t="shared" si="6"/>
        <v>48</v>
      </c>
      <c r="H35">
        <f t="shared" si="6"/>
        <v>56</v>
      </c>
      <c r="I35">
        <f t="shared" si="6"/>
        <v>64</v>
      </c>
      <c r="J35">
        <f t="shared" si="6"/>
        <v>72</v>
      </c>
      <c r="K35">
        <f t="shared" si="6"/>
        <v>80</v>
      </c>
      <c r="M35">
        <v>9</v>
      </c>
      <c r="N35">
        <f t="shared" si="5"/>
        <v>9</v>
      </c>
      <c r="O35">
        <f t="shared" si="5"/>
        <v>18</v>
      </c>
      <c r="P35">
        <f t="shared" si="5"/>
        <v>54</v>
      </c>
      <c r="Q35">
        <f t="shared" si="5"/>
        <v>216</v>
      </c>
      <c r="R35">
        <f t="shared" si="5"/>
        <v>1080</v>
      </c>
      <c r="S35">
        <f t="shared" si="5"/>
        <v>6480</v>
      </c>
      <c r="T35">
        <f t="shared" si="5"/>
        <v>45360</v>
      </c>
      <c r="U35">
        <f t="shared" si="5"/>
        <v>362880</v>
      </c>
      <c r="V35">
        <f t="shared" si="5"/>
        <v>3265920</v>
      </c>
      <c r="W35">
        <f t="shared" si="5"/>
        <v>32659200</v>
      </c>
      <c r="X35">
        <f t="shared" si="5"/>
        <v>0</v>
      </c>
    </row>
    <row r="36" spans="1:24" x14ac:dyDescent="0.3">
      <c r="A36">
        <v>9</v>
      </c>
      <c r="B36">
        <f t="shared" si="6"/>
        <v>9</v>
      </c>
      <c r="C36">
        <f t="shared" si="6"/>
        <v>18</v>
      </c>
      <c r="D36">
        <f t="shared" si="6"/>
        <v>27</v>
      </c>
      <c r="E36">
        <f t="shared" si="6"/>
        <v>36</v>
      </c>
      <c r="F36">
        <f t="shared" si="6"/>
        <v>45</v>
      </c>
      <c r="G36">
        <f t="shared" si="6"/>
        <v>54</v>
      </c>
      <c r="H36">
        <f t="shared" si="6"/>
        <v>63</v>
      </c>
      <c r="I36">
        <f t="shared" si="6"/>
        <v>72</v>
      </c>
      <c r="J36">
        <f t="shared" si="6"/>
        <v>81</v>
      </c>
      <c r="K36">
        <f t="shared" si="6"/>
        <v>90</v>
      </c>
      <c r="M36">
        <v>10</v>
      </c>
      <c r="N36">
        <f t="shared" si="5"/>
        <v>10</v>
      </c>
      <c r="O36">
        <f t="shared" si="5"/>
        <v>20</v>
      </c>
      <c r="P36">
        <f t="shared" si="5"/>
        <v>60</v>
      </c>
      <c r="Q36">
        <f t="shared" si="5"/>
        <v>240</v>
      </c>
      <c r="R36">
        <f t="shared" si="5"/>
        <v>1200</v>
      </c>
      <c r="S36">
        <f t="shared" si="5"/>
        <v>7200</v>
      </c>
      <c r="T36">
        <f t="shared" si="5"/>
        <v>50400</v>
      </c>
      <c r="U36">
        <f t="shared" si="5"/>
        <v>403200</v>
      </c>
      <c r="V36">
        <f t="shared" si="5"/>
        <v>3628800</v>
      </c>
      <c r="W36">
        <f t="shared" si="5"/>
        <v>36288000</v>
      </c>
      <c r="X36">
        <f t="shared" si="5"/>
        <v>0</v>
      </c>
    </row>
    <row r="38" spans="1:24" x14ac:dyDescent="0.3">
      <c r="B38">
        <v>2</v>
      </c>
      <c r="C38">
        <v>4</v>
      </c>
      <c r="D38">
        <v>6</v>
      </c>
      <c r="E38">
        <v>8</v>
      </c>
      <c r="F38">
        <v>10</v>
      </c>
      <c r="G38">
        <v>12</v>
      </c>
      <c r="H38">
        <v>13</v>
      </c>
      <c r="J38">
        <v>14</v>
      </c>
      <c r="K38">
        <v>15</v>
      </c>
    </row>
    <row r="39" spans="1:24" x14ac:dyDescent="0.3">
      <c r="A39">
        <v>10</v>
      </c>
      <c r="B39">
        <f>$A39*B38</f>
        <v>20</v>
      </c>
      <c r="C39">
        <f t="shared" ref="C39:K47" si="7">$A39*C38</f>
        <v>40</v>
      </c>
      <c r="D39">
        <f t="shared" si="7"/>
        <v>60</v>
      </c>
      <c r="E39">
        <f t="shared" si="7"/>
        <v>80</v>
      </c>
      <c r="F39">
        <f t="shared" si="7"/>
        <v>100</v>
      </c>
      <c r="G39">
        <f t="shared" si="7"/>
        <v>120</v>
      </c>
      <c r="H39">
        <f t="shared" si="7"/>
        <v>130</v>
      </c>
      <c r="I39">
        <f t="shared" si="7"/>
        <v>0</v>
      </c>
      <c r="J39">
        <f t="shared" si="7"/>
        <v>140</v>
      </c>
      <c r="K39">
        <f t="shared" si="7"/>
        <v>150</v>
      </c>
    </row>
    <row r="40" spans="1:24" x14ac:dyDescent="0.3">
      <c r="A40">
        <v>12</v>
      </c>
      <c r="B40">
        <f t="shared" ref="B40:B47" si="8">$A40*B39</f>
        <v>240</v>
      </c>
      <c r="C40">
        <f t="shared" si="7"/>
        <v>480</v>
      </c>
      <c r="D40">
        <f t="shared" si="7"/>
        <v>720</v>
      </c>
      <c r="E40">
        <f t="shared" si="7"/>
        <v>960</v>
      </c>
      <c r="F40">
        <f t="shared" si="7"/>
        <v>1200</v>
      </c>
      <c r="G40">
        <f t="shared" si="7"/>
        <v>1440</v>
      </c>
      <c r="H40">
        <f t="shared" si="7"/>
        <v>1560</v>
      </c>
      <c r="I40">
        <f t="shared" si="7"/>
        <v>0</v>
      </c>
      <c r="J40">
        <f t="shared" si="7"/>
        <v>1680</v>
      </c>
      <c r="K40">
        <f t="shared" si="7"/>
        <v>1800</v>
      </c>
    </row>
    <row r="41" spans="1:24" x14ac:dyDescent="0.3">
      <c r="A41">
        <v>13</v>
      </c>
      <c r="B41">
        <f t="shared" si="8"/>
        <v>3120</v>
      </c>
      <c r="C41">
        <f t="shared" si="7"/>
        <v>6240</v>
      </c>
      <c r="D41">
        <f t="shared" si="7"/>
        <v>9360</v>
      </c>
      <c r="E41">
        <f t="shared" si="7"/>
        <v>12480</v>
      </c>
      <c r="F41">
        <f t="shared" si="7"/>
        <v>15600</v>
      </c>
      <c r="G41">
        <f t="shared" si="7"/>
        <v>18720</v>
      </c>
      <c r="H41">
        <f t="shared" si="7"/>
        <v>20280</v>
      </c>
      <c r="I41">
        <f t="shared" si="7"/>
        <v>0</v>
      </c>
      <c r="J41">
        <f t="shared" si="7"/>
        <v>21840</v>
      </c>
      <c r="K41">
        <f t="shared" si="7"/>
        <v>23400</v>
      </c>
    </row>
    <row r="42" spans="1:24" x14ac:dyDescent="0.3">
      <c r="A42">
        <v>14</v>
      </c>
      <c r="B42">
        <f t="shared" si="8"/>
        <v>43680</v>
      </c>
      <c r="C42">
        <f t="shared" si="7"/>
        <v>87360</v>
      </c>
      <c r="D42">
        <f t="shared" si="7"/>
        <v>131040</v>
      </c>
      <c r="E42">
        <f t="shared" si="7"/>
        <v>174720</v>
      </c>
      <c r="F42">
        <f t="shared" si="7"/>
        <v>218400</v>
      </c>
      <c r="G42">
        <f t="shared" si="7"/>
        <v>262080</v>
      </c>
      <c r="H42">
        <f t="shared" si="7"/>
        <v>283920</v>
      </c>
      <c r="I42">
        <f t="shared" si="7"/>
        <v>0</v>
      </c>
      <c r="J42">
        <f t="shared" si="7"/>
        <v>305760</v>
      </c>
      <c r="K42">
        <f t="shared" si="7"/>
        <v>327600</v>
      </c>
    </row>
    <row r="43" spans="1:24" x14ac:dyDescent="0.3">
      <c r="A43">
        <v>14</v>
      </c>
      <c r="B43">
        <f t="shared" si="8"/>
        <v>611520</v>
      </c>
      <c r="C43">
        <f t="shared" si="7"/>
        <v>1223040</v>
      </c>
      <c r="D43">
        <f t="shared" si="7"/>
        <v>1834560</v>
      </c>
      <c r="E43">
        <f t="shared" si="7"/>
        <v>2446080</v>
      </c>
      <c r="F43">
        <f t="shared" si="7"/>
        <v>3057600</v>
      </c>
      <c r="G43">
        <f t="shared" si="7"/>
        <v>3669120</v>
      </c>
      <c r="H43">
        <f t="shared" si="7"/>
        <v>3974880</v>
      </c>
      <c r="I43">
        <f t="shared" si="7"/>
        <v>0</v>
      </c>
      <c r="J43">
        <f t="shared" si="7"/>
        <v>4280640</v>
      </c>
      <c r="K43">
        <f t="shared" si="7"/>
        <v>4586400</v>
      </c>
    </row>
    <row r="44" spans="1:24" x14ac:dyDescent="0.3">
      <c r="A44">
        <v>16</v>
      </c>
      <c r="B44">
        <f t="shared" si="8"/>
        <v>9784320</v>
      </c>
      <c r="C44">
        <f t="shared" si="7"/>
        <v>19568640</v>
      </c>
      <c r="D44">
        <f t="shared" si="7"/>
        <v>29352960</v>
      </c>
      <c r="E44">
        <f t="shared" si="7"/>
        <v>39137280</v>
      </c>
      <c r="F44">
        <f t="shared" si="7"/>
        <v>48921600</v>
      </c>
      <c r="G44">
        <f t="shared" si="7"/>
        <v>58705920</v>
      </c>
      <c r="H44">
        <f t="shared" si="7"/>
        <v>63598080</v>
      </c>
      <c r="I44">
        <f t="shared" si="7"/>
        <v>0</v>
      </c>
      <c r="J44">
        <f t="shared" si="7"/>
        <v>68490240</v>
      </c>
      <c r="K44">
        <f t="shared" si="7"/>
        <v>73382400</v>
      </c>
    </row>
    <row r="45" spans="1:24" x14ac:dyDescent="0.3">
      <c r="A45">
        <v>16</v>
      </c>
      <c r="B45">
        <f t="shared" si="8"/>
        <v>156549120</v>
      </c>
      <c r="C45">
        <f t="shared" si="7"/>
        <v>313098240</v>
      </c>
      <c r="D45">
        <f t="shared" si="7"/>
        <v>469647360</v>
      </c>
      <c r="E45">
        <f t="shared" si="7"/>
        <v>626196480</v>
      </c>
      <c r="F45">
        <f t="shared" si="7"/>
        <v>782745600</v>
      </c>
      <c r="G45">
        <f t="shared" si="7"/>
        <v>939294720</v>
      </c>
      <c r="H45">
        <f t="shared" si="7"/>
        <v>1017569280</v>
      </c>
      <c r="I45">
        <f t="shared" si="7"/>
        <v>0</v>
      </c>
      <c r="J45">
        <f t="shared" si="7"/>
        <v>1095843840</v>
      </c>
      <c r="K45">
        <f t="shared" si="7"/>
        <v>1174118400</v>
      </c>
    </row>
    <row r="46" spans="1:24" x14ac:dyDescent="0.3">
      <c r="A46">
        <v>18</v>
      </c>
      <c r="B46">
        <f t="shared" si="8"/>
        <v>2817884160</v>
      </c>
      <c r="C46">
        <f t="shared" si="7"/>
        <v>5635768320</v>
      </c>
      <c r="D46">
        <f t="shared" si="7"/>
        <v>8453652480</v>
      </c>
      <c r="E46">
        <f t="shared" si="7"/>
        <v>11271536640</v>
      </c>
      <c r="F46">
        <f t="shared" si="7"/>
        <v>14089420800</v>
      </c>
      <c r="G46">
        <f t="shared" si="7"/>
        <v>16907304960</v>
      </c>
      <c r="H46">
        <f t="shared" si="7"/>
        <v>18316247040</v>
      </c>
      <c r="I46">
        <f t="shared" si="7"/>
        <v>0</v>
      </c>
      <c r="J46">
        <f t="shared" si="7"/>
        <v>19725189120</v>
      </c>
      <c r="K46">
        <f t="shared" si="7"/>
        <v>21134131200</v>
      </c>
    </row>
    <row r="47" spans="1:24" x14ac:dyDescent="0.3">
      <c r="A47">
        <v>19</v>
      </c>
      <c r="B47">
        <f t="shared" si="8"/>
        <v>53539799040</v>
      </c>
      <c r="C47">
        <f t="shared" si="7"/>
        <v>107079598080</v>
      </c>
      <c r="D47">
        <f t="shared" si="7"/>
        <v>160619397120</v>
      </c>
      <c r="E47">
        <f t="shared" si="7"/>
        <v>214159196160</v>
      </c>
      <c r="F47">
        <f t="shared" si="7"/>
        <v>267698995200</v>
      </c>
      <c r="G47">
        <f t="shared" si="7"/>
        <v>321238794240</v>
      </c>
      <c r="H47">
        <f t="shared" si="7"/>
        <v>348008693760</v>
      </c>
      <c r="I47">
        <f t="shared" si="7"/>
        <v>0</v>
      </c>
      <c r="J47">
        <f t="shared" si="7"/>
        <v>374778593280</v>
      </c>
      <c r="K47">
        <f t="shared" si="7"/>
        <v>401548492800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90AAE-3298-45FE-8713-98955B2F4926}">
  <sheetPr codeName="Sheet4"/>
  <dimension ref="A1:H99"/>
  <sheetViews>
    <sheetView topLeftCell="A7" workbookViewId="0">
      <selection activeCell="C7" sqref="C7"/>
    </sheetView>
  </sheetViews>
  <sheetFormatPr defaultRowHeight="14.4" x14ac:dyDescent="0.3"/>
  <cols>
    <col min="1" max="1" width="9.44140625" customWidth="1"/>
    <col min="2" max="2" width="17.44140625" customWidth="1"/>
    <col min="3" max="3" width="19.44140625" customWidth="1"/>
    <col min="4" max="4" width="10.44140625" customWidth="1"/>
    <col min="5" max="5" width="19.77734375" customWidth="1"/>
    <col min="6" max="6" width="13.88671875" customWidth="1"/>
    <col min="7" max="7" width="46.33203125" customWidth="1"/>
  </cols>
  <sheetData>
    <row r="1" spans="1:6" x14ac:dyDescent="0.3">
      <c r="E1" s="4" t="s">
        <v>39</v>
      </c>
    </row>
    <row r="2" spans="1:6" x14ac:dyDescent="0.3">
      <c r="B2" s="1" t="s">
        <v>26</v>
      </c>
      <c r="C2" s="1" t="s">
        <v>27</v>
      </c>
    </row>
    <row r="3" spans="1:6" x14ac:dyDescent="0.3">
      <c r="B3" t="s">
        <v>28</v>
      </c>
      <c r="C3">
        <v>5</v>
      </c>
    </row>
    <row r="4" spans="1:6" x14ac:dyDescent="0.3">
      <c r="B4" t="s">
        <v>29</v>
      </c>
      <c r="C4">
        <v>7</v>
      </c>
    </row>
    <row r="5" spans="1:6" x14ac:dyDescent="0.3">
      <c r="B5" t="s">
        <v>30</v>
      </c>
      <c r="C5">
        <v>6</v>
      </c>
    </row>
    <row r="6" spans="1:6" x14ac:dyDescent="0.3">
      <c r="B6" t="s">
        <v>31</v>
      </c>
      <c r="C6">
        <v>9</v>
      </c>
    </row>
    <row r="7" spans="1:6" x14ac:dyDescent="0.3">
      <c r="B7" s="1" t="s">
        <v>32</v>
      </c>
      <c r="C7">
        <f>SUM(C3:C6)</f>
        <v>27</v>
      </c>
    </row>
    <row r="9" spans="1:6" x14ac:dyDescent="0.3">
      <c r="A9" s="1" t="s">
        <v>33</v>
      </c>
      <c r="B9">
        <v>2016</v>
      </c>
      <c r="C9">
        <v>2017</v>
      </c>
      <c r="D9">
        <v>2018</v>
      </c>
      <c r="E9" t="s">
        <v>34</v>
      </c>
    </row>
    <row r="10" spans="1:6" x14ac:dyDescent="0.3">
      <c r="A10" s="1" t="s">
        <v>35</v>
      </c>
      <c r="B10" s="3">
        <v>60001</v>
      </c>
      <c r="C10" s="3">
        <v>74989</v>
      </c>
      <c r="D10" s="3">
        <v>90272</v>
      </c>
      <c r="E10" s="3">
        <f>SUM(B10:D10)</f>
        <v>225262</v>
      </c>
      <c r="F10" s="3"/>
    </row>
    <row r="11" spans="1:6" x14ac:dyDescent="0.3">
      <c r="A11" s="1" t="s">
        <v>36</v>
      </c>
      <c r="B11" s="3">
        <v>43505</v>
      </c>
      <c r="C11" s="3">
        <v>55629</v>
      </c>
      <c r="D11" s="3">
        <v>66556</v>
      </c>
      <c r="E11" s="3">
        <f t="shared" ref="E11:E12" si="0">SUM(B11:D11)</f>
        <v>165690</v>
      </c>
      <c r="F11" s="3"/>
    </row>
    <row r="12" spans="1:6" x14ac:dyDescent="0.3">
      <c r="A12" s="1" t="s">
        <v>37</v>
      </c>
      <c r="B12" s="3">
        <v>16497</v>
      </c>
      <c r="C12" s="3">
        <v>19360</v>
      </c>
      <c r="D12" s="3">
        <v>23716</v>
      </c>
      <c r="E12" s="3">
        <f t="shared" si="0"/>
        <v>59573</v>
      </c>
      <c r="F12" s="3"/>
    </row>
    <row r="14" spans="1:6" x14ac:dyDescent="0.3">
      <c r="D14" t="s">
        <v>38</v>
      </c>
    </row>
    <row r="15" spans="1:6" x14ac:dyDescent="0.3">
      <c r="E15" s="4" t="s">
        <v>41</v>
      </c>
    </row>
    <row r="17" spans="1:8" x14ac:dyDescent="0.3">
      <c r="B17">
        <v>34</v>
      </c>
      <c r="C17">
        <v>56</v>
      </c>
      <c r="D17">
        <v>89</v>
      </c>
      <c r="E17">
        <v>72</v>
      </c>
    </row>
    <row r="18" spans="1:8" x14ac:dyDescent="0.3">
      <c r="B18">
        <v>12</v>
      </c>
      <c r="C18">
        <v>35</v>
      </c>
      <c r="D18">
        <v>56</v>
      </c>
      <c r="E18">
        <v>23</v>
      </c>
    </row>
    <row r="19" spans="1:8" x14ac:dyDescent="0.3">
      <c r="B19">
        <v>22</v>
      </c>
      <c r="C19">
        <v>40</v>
      </c>
      <c r="D19">
        <v>80</v>
      </c>
      <c r="E19">
        <v>90</v>
      </c>
    </row>
    <row r="20" spans="1:8" x14ac:dyDescent="0.3">
      <c r="C20" t="s">
        <v>40</v>
      </c>
      <c r="D20">
        <f>MAX(B17:E19)</f>
        <v>90</v>
      </c>
    </row>
    <row r="22" spans="1:8" x14ac:dyDescent="0.3">
      <c r="E22" s="4" t="s">
        <v>42</v>
      </c>
      <c r="G22" t="s">
        <v>53</v>
      </c>
    </row>
    <row r="23" spans="1:8" x14ac:dyDescent="0.3">
      <c r="H23" t="s">
        <v>54</v>
      </c>
    </row>
    <row r="24" spans="1:8" x14ac:dyDescent="0.3">
      <c r="A24" t="s">
        <v>43</v>
      </c>
      <c r="D24" t="s">
        <v>49</v>
      </c>
      <c r="H24" s="4"/>
    </row>
    <row r="25" spans="1:8" x14ac:dyDescent="0.3">
      <c r="B25" t="s">
        <v>44</v>
      </c>
      <c r="E25">
        <v>1</v>
      </c>
    </row>
    <row r="26" spans="1:8" x14ac:dyDescent="0.3">
      <c r="B26" t="s">
        <v>45</v>
      </c>
      <c r="E26" t="s">
        <v>50</v>
      </c>
    </row>
    <row r="27" spans="1:8" x14ac:dyDescent="0.3">
      <c r="B27" t="s">
        <v>46</v>
      </c>
      <c r="E27">
        <v>3</v>
      </c>
    </row>
    <row r="28" spans="1:8" x14ac:dyDescent="0.3">
      <c r="B28" t="s">
        <v>47</v>
      </c>
      <c r="E28" t="s">
        <v>51</v>
      </c>
    </row>
    <row r="29" spans="1:8" x14ac:dyDescent="0.3">
      <c r="B29" t="s">
        <v>48</v>
      </c>
      <c r="E29">
        <v>4</v>
      </c>
    </row>
    <row r="30" spans="1:8" x14ac:dyDescent="0.3">
      <c r="A30" t="s">
        <v>43</v>
      </c>
      <c r="B30">
        <f>COUNTA(B25:B29)</f>
        <v>5</v>
      </c>
      <c r="E30" t="s">
        <v>52</v>
      </c>
    </row>
    <row r="31" spans="1:8" x14ac:dyDescent="0.3">
      <c r="E31">
        <v>9</v>
      </c>
    </row>
    <row r="32" spans="1:8" x14ac:dyDescent="0.3">
      <c r="D32" t="s">
        <v>49</v>
      </c>
      <c r="E32">
        <f>COUNT(E25:E31)</f>
        <v>4</v>
      </c>
    </row>
    <row r="35" spans="2:7" x14ac:dyDescent="0.3">
      <c r="E35" s="4" t="s">
        <v>55</v>
      </c>
    </row>
    <row r="38" spans="2:7" x14ac:dyDescent="0.3">
      <c r="B38" t="s">
        <v>26</v>
      </c>
      <c r="C38" t="s">
        <v>56</v>
      </c>
      <c r="D38" t="s">
        <v>57</v>
      </c>
    </row>
    <row r="39" spans="2:7" x14ac:dyDescent="0.3">
      <c r="B39" t="s">
        <v>58</v>
      </c>
      <c r="C39">
        <v>12</v>
      </c>
      <c r="D39" t="str">
        <f>IF(C39&lt;18,"yes","no")</f>
        <v>yes</v>
      </c>
    </row>
    <row r="40" spans="2:7" x14ac:dyDescent="0.3">
      <c r="B40" t="s">
        <v>59</v>
      </c>
      <c r="C40">
        <v>23</v>
      </c>
      <c r="D40" t="str">
        <f>IF(C40&lt;18,"yes","no")</f>
        <v>no</v>
      </c>
    </row>
    <row r="41" spans="2:7" x14ac:dyDescent="0.3">
      <c r="G41" s="7"/>
    </row>
    <row r="42" spans="2:7" x14ac:dyDescent="0.3">
      <c r="C42" t="s">
        <v>133</v>
      </c>
      <c r="D42" s="4" t="s">
        <v>65</v>
      </c>
    </row>
    <row r="43" spans="2:7" x14ac:dyDescent="0.3">
      <c r="B43" s="1" t="s">
        <v>60</v>
      </c>
      <c r="C43">
        <v>57</v>
      </c>
      <c r="D43" s="6"/>
    </row>
    <row r="44" spans="2:7" x14ac:dyDescent="0.3">
      <c r="B44" s="5" t="s">
        <v>61</v>
      </c>
      <c r="C44" s="5" t="s">
        <v>62</v>
      </c>
      <c r="D44" s="5"/>
      <c r="E44" s="6"/>
      <c r="F44" s="5"/>
    </row>
    <row r="45" spans="2:7" x14ac:dyDescent="0.3">
      <c r="B45" t="s">
        <v>63</v>
      </c>
      <c r="C45">
        <v>4.55</v>
      </c>
      <c r="E45" s="6"/>
    </row>
    <row r="47" spans="2:7" x14ac:dyDescent="0.3">
      <c r="B47" t="s">
        <v>64</v>
      </c>
      <c r="C47" t="str">
        <f>IF(C44="full-time", IF(C45&gt;4.5, "yes", "no"), "no")</f>
        <v>no</v>
      </c>
    </row>
    <row r="49" spans="1:7" x14ac:dyDescent="0.3">
      <c r="D49" s="4" t="s">
        <v>66</v>
      </c>
    </row>
    <row r="51" spans="1:7" x14ac:dyDescent="0.3">
      <c r="B51" s="8" t="s">
        <v>96</v>
      </c>
      <c r="G51" s="8" t="s">
        <v>97</v>
      </c>
    </row>
    <row r="52" spans="1:7" x14ac:dyDescent="0.3">
      <c r="A52" t="s">
        <v>67</v>
      </c>
      <c r="B52" t="s">
        <v>68</v>
      </c>
      <c r="C52" t="s">
        <v>69</v>
      </c>
      <c r="E52" s="1" t="s">
        <v>79</v>
      </c>
      <c r="F52" s="1" t="s">
        <v>80</v>
      </c>
      <c r="G52" s="1" t="s">
        <v>81</v>
      </c>
    </row>
    <row r="53" spans="1:7" x14ac:dyDescent="0.3">
      <c r="A53" t="s">
        <v>70</v>
      </c>
      <c r="B53" t="s">
        <v>75</v>
      </c>
      <c r="C53">
        <v>10</v>
      </c>
      <c r="E53" t="s">
        <v>82</v>
      </c>
      <c r="F53" t="s">
        <v>87</v>
      </c>
      <c r="G53">
        <v>77</v>
      </c>
    </row>
    <row r="54" spans="1:7" x14ac:dyDescent="0.3">
      <c r="A54" t="s">
        <v>71</v>
      </c>
      <c r="B54" t="s">
        <v>76</v>
      </c>
      <c r="C54">
        <v>30</v>
      </c>
      <c r="E54" t="s">
        <v>83</v>
      </c>
      <c r="F54" t="s">
        <v>88</v>
      </c>
      <c r="G54">
        <v>71</v>
      </c>
    </row>
    <row r="55" spans="1:7" x14ac:dyDescent="0.3">
      <c r="A55" t="s">
        <v>72</v>
      </c>
      <c r="B55" t="s">
        <v>76</v>
      </c>
      <c r="C55">
        <v>40</v>
      </c>
      <c r="E55" t="s">
        <v>84</v>
      </c>
      <c r="F55" t="s">
        <v>89</v>
      </c>
      <c r="G55">
        <v>75</v>
      </c>
    </row>
    <row r="56" spans="1:7" x14ac:dyDescent="0.3">
      <c r="A56" t="s">
        <v>73</v>
      </c>
      <c r="B56" t="s">
        <v>77</v>
      </c>
      <c r="C56">
        <v>24</v>
      </c>
      <c r="E56" t="s">
        <v>82</v>
      </c>
      <c r="F56" t="s">
        <v>90</v>
      </c>
      <c r="G56">
        <v>67</v>
      </c>
    </row>
    <row r="57" spans="1:7" x14ac:dyDescent="0.3">
      <c r="A57" t="s">
        <v>74</v>
      </c>
      <c r="B57" t="s">
        <v>76</v>
      </c>
      <c r="C57">
        <v>46</v>
      </c>
      <c r="E57" t="s">
        <v>83</v>
      </c>
      <c r="F57" t="s">
        <v>91</v>
      </c>
      <c r="G57">
        <v>89</v>
      </c>
    </row>
    <row r="58" spans="1:7" x14ac:dyDescent="0.3">
      <c r="B58" s="1" t="s">
        <v>78</v>
      </c>
      <c r="C58">
        <f>SUMIF(B53:B57,"yellow",C53:C57)</f>
        <v>116</v>
      </c>
      <c r="E58" t="s">
        <v>85</v>
      </c>
      <c r="F58" t="s">
        <v>92</v>
      </c>
      <c r="G58">
        <v>87</v>
      </c>
    </row>
    <row r="59" spans="1:7" x14ac:dyDescent="0.3">
      <c r="E59" t="s">
        <v>86</v>
      </c>
      <c r="F59" t="s">
        <v>93</v>
      </c>
      <c r="G59">
        <v>77</v>
      </c>
    </row>
    <row r="60" spans="1:7" x14ac:dyDescent="0.3">
      <c r="B60" t="e">
        <f>SUMIF</f>
        <v>#NAME?</v>
      </c>
      <c r="E60" t="s">
        <v>83</v>
      </c>
      <c r="F60" t="s">
        <v>94</v>
      </c>
      <c r="G60">
        <v>60</v>
      </c>
    </row>
    <row r="61" spans="1:7" x14ac:dyDescent="0.3">
      <c r="G61">
        <v>83</v>
      </c>
    </row>
    <row r="62" spans="1:7" x14ac:dyDescent="0.3">
      <c r="F62" s="1" t="s">
        <v>95</v>
      </c>
    </row>
    <row r="63" spans="1:7" x14ac:dyDescent="0.3">
      <c r="F63" t="s">
        <v>83</v>
      </c>
      <c r="G63">
        <f>SUMIF(E53:E60,"ohio",G53:G62)</f>
        <v>220</v>
      </c>
    </row>
    <row r="65" spans="1:5" x14ac:dyDescent="0.3">
      <c r="B65" s="8" t="s">
        <v>98</v>
      </c>
    </row>
    <row r="67" spans="1:5" x14ac:dyDescent="0.3">
      <c r="A67" s="1" t="s">
        <v>99</v>
      </c>
      <c r="B67" s="1" t="s">
        <v>100</v>
      </c>
    </row>
    <row r="68" spans="1:5" x14ac:dyDescent="0.3">
      <c r="A68" t="s">
        <v>70</v>
      </c>
      <c r="B68" t="s">
        <v>75</v>
      </c>
    </row>
    <row r="69" spans="1:5" x14ac:dyDescent="0.3">
      <c r="A69" t="s">
        <v>71</v>
      </c>
      <c r="B69" t="s">
        <v>76</v>
      </c>
    </row>
    <row r="70" spans="1:5" x14ac:dyDescent="0.3">
      <c r="A70" t="s">
        <v>72</v>
      </c>
      <c r="B70" t="s">
        <v>76</v>
      </c>
    </row>
    <row r="71" spans="1:5" x14ac:dyDescent="0.3">
      <c r="A71" t="s">
        <v>73</v>
      </c>
      <c r="B71" t="s">
        <v>77</v>
      </c>
    </row>
    <row r="72" spans="1:5" x14ac:dyDescent="0.3">
      <c r="A72" t="s">
        <v>74</v>
      </c>
      <c r="B72" t="s">
        <v>101</v>
      </c>
    </row>
    <row r="74" spans="1:5" x14ac:dyDescent="0.3">
      <c r="A74" t="s">
        <v>102</v>
      </c>
      <c r="B74">
        <f>COUNTIF(B68:B72,"yellow")</f>
        <v>2</v>
      </c>
    </row>
    <row r="75" spans="1:5" x14ac:dyDescent="0.3">
      <c r="C75" s="4" t="s">
        <v>103</v>
      </c>
    </row>
    <row r="76" spans="1:5" x14ac:dyDescent="0.3">
      <c r="A76" s="9" t="s">
        <v>113</v>
      </c>
    </row>
    <row r="77" spans="1:5" x14ac:dyDescent="0.3">
      <c r="B77" s="1" t="s">
        <v>104</v>
      </c>
      <c r="C77" t="s">
        <v>105</v>
      </c>
      <c r="D77" t="s">
        <v>79</v>
      </c>
      <c r="E77" t="s">
        <v>35</v>
      </c>
    </row>
    <row r="78" spans="1:5" x14ac:dyDescent="0.3">
      <c r="B78">
        <v>1</v>
      </c>
      <c r="C78" t="s">
        <v>106</v>
      </c>
      <c r="D78" t="s">
        <v>109</v>
      </c>
      <c r="E78">
        <v>492</v>
      </c>
    </row>
    <row r="79" spans="1:5" x14ac:dyDescent="0.3">
      <c r="B79">
        <v>2</v>
      </c>
      <c r="C79" t="s">
        <v>107</v>
      </c>
      <c r="D79" t="s">
        <v>110</v>
      </c>
      <c r="E79">
        <v>174</v>
      </c>
    </row>
    <row r="80" spans="1:5" x14ac:dyDescent="0.3">
      <c r="B80">
        <v>3</v>
      </c>
      <c r="C80" t="s">
        <v>106</v>
      </c>
      <c r="D80" t="s">
        <v>109</v>
      </c>
      <c r="E80">
        <v>555</v>
      </c>
    </row>
    <row r="81" spans="1:5" x14ac:dyDescent="0.3">
      <c r="B81">
        <v>4</v>
      </c>
      <c r="C81" t="s">
        <v>106</v>
      </c>
      <c r="D81" t="s">
        <v>109</v>
      </c>
      <c r="E81">
        <v>100</v>
      </c>
    </row>
    <row r="82" spans="1:5" x14ac:dyDescent="0.3">
      <c r="B82">
        <v>5</v>
      </c>
      <c r="C82" t="s">
        <v>108</v>
      </c>
      <c r="D82" t="s">
        <v>111</v>
      </c>
      <c r="E82">
        <v>8</v>
      </c>
    </row>
    <row r="83" spans="1:5" x14ac:dyDescent="0.3">
      <c r="B83">
        <v>6</v>
      </c>
      <c r="C83" t="s">
        <v>106</v>
      </c>
      <c r="D83" t="s">
        <v>109</v>
      </c>
      <c r="E83">
        <v>201</v>
      </c>
    </row>
    <row r="84" spans="1:5" x14ac:dyDescent="0.3">
      <c r="B84">
        <v>7</v>
      </c>
      <c r="C84" t="s">
        <v>107</v>
      </c>
      <c r="D84" t="s">
        <v>110</v>
      </c>
      <c r="E84">
        <v>108</v>
      </c>
    </row>
    <row r="85" spans="1:5" x14ac:dyDescent="0.3">
      <c r="B85">
        <v>8</v>
      </c>
      <c r="C85" t="s">
        <v>106</v>
      </c>
      <c r="D85" t="s">
        <v>109</v>
      </c>
      <c r="E85">
        <v>111</v>
      </c>
    </row>
    <row r="87" spans="1:5" x14ac:dyDescent="0.3">
      <c r="D87" t="s">
        <v>112</v>
      </c>
      <c r="E87">
        <f>SUMIFS(E78:E85,C78:C85,"gold",D78:D85,"NY")</f>
        <v>1459</v>
      </c>
    </row>
    <row r="89" spans="1:5" x14ac:dyDescent="0.3">
      <c r="A89" s="9" t="s">
        <v>114</v>
      </c>
    </row>
    <row r="90" spans="1:5" x14ac:dyDescent="0.3">
      <c r="B90" t="s">
        <v>115</v>
      </c>
      <c r="C90" t="s">
        <v>116</v>
      </c>
      <c r="D90" t="s">
        <v>56</v>
      </c>
    </row>
    <row r="91" spans="1:5" x14ac:dyDescent="0.3">
      <c r="B91" t="s">
        <v>117</v>
      </c>
      <c r="C91" t="s">
        <v>123</v>
      </c>
      <c r="D91">
        <v>12</v>
      </c>
    </row>
    <row r="92" spans="1:5" x14ac:dyDescent="0.3">
      <c r="B92" t="s">
        <v>118</v>
      </c>
      <c r="C92" t="s">
        <v>123</v>
      </c>
      <c r="D92">
        <v>14</v>
      </c>
    </row>
    <row r="93" spans="1:5" x14ac:dyDescent="0.3">
      <c r="B93" t="s">
        <v>119</v>
      </c>
      <c r="C93" t="s">
        <v>124</v>
      </c>
      <c r="D93">
        <v>24</v>
      </c>
    </row>
    <row r="94" spans="1:5" x14ac:dyDescent="0.3">
      <c r="B94" t="s">
        <v>120</v>
      </c>
      <c r="C94" t="s">
        <v>124</v>
      </c>
      <c r="D94">
        <v>32</v>
      </c>
    </row>
    <row r="95" spans="1:5" x14ac:dyDescent="0.3">
      <c r="B95" t="s">
        <v>121</v>
      </c>
      <c r="C95" t="s">
        <v>123</v>
      </c>
      <c r="D95">
        <v>12</v>
      </c>
    </row>
    <row r="96" spans="1:5" x14ac:dyDescent="0.3">
      <c r="B96" t="s">
        <v>122</v>
      </c>
      <c r="C96" t="s">
        <v>123</v>
      </c>
      <c r="D96">
        <v>17</v>
      </c>
    </row>
    <row r="98" spans="2:3" x14ac:dyDescent="0.3">
      <c r="B98" t="s">
        <v>112</v>
      </c>
      <c r="C98">
        <f>COUNTIFS(C91:C96, "boy",D91:D96,"&gt;13")</f>
        <v>2</v>
      </c>
    </row>
    <row r="99" spans="2:3" x14ac:dyDescent="0.3">
      <c r="C99" t="s">
        <v>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FA161-26D2-43AF-A964-C651F9BBE5D7}">
  <sheetPr codeName="Sheet5"/>
  <dimension ref="A1:I31"/>
  <sheetViews>
    <sheetView topLeftCell="A71" workbookViewId="0">
      <selection activeCell="A27" sqref="A27"/>
    </sheetView>
  </sheetViews>
  <sheetFormatPr defaultRowHeight="14.4" x14ac:dyDescent="0.3"/>
  <cols>
    <col min="1" max="1" width="13.88671875" customWidth="1"/>
    <col min="2" max="2" width="18.88671875" customWidth="1"/>
    <col min="3" max="3" width="18.5546875" customWidth="1"/>
    <col min="4" max="4" width="20.109375" style="3" customWidth="1"/>
    <col min="5" max="5" width="17.44140625" style="3" customWidth="1"/>
    <col min="6" max="6" width="23.77734375" customWidth="1"/>
    <col min="7" max="7" width="16.88671875" customWidth="1"/>
    <col min="8" max="8" width="20.77734375" customWidth="1"/>
  </cols>
  <sheetData>
    <row r="1" spans="1:9" x14ac:dyDescent="0.3">
      <c r="E1" s="36" t="s">
        <v>134</v>
      </c>
    </row>
    <row r="3" spans="1:9" x14ac:dyDescent="0.3">
      <c r="B3" s="1" t="s">
        <v>0</v>
      </c>
      <c r="C3" s="1" t="s">
        <v>1</v>
      </c>
      <c r="D3" s="34" t="s">
        <v>13</v>
      </c>
      <c r="E3" s="34" t="s">
        <v>14</v>
      </c>
      <c r="F3" s="1" t="s">
        <v>15</v>
      </c>
      <c r="G3" s="1" t="s">
        <v>16</v>
      </c>
      <c r="H3" s="1" t="s">
        <v>25</v>
      </c>
      <c r="I3" s="1">
        <v>0.1</v>
      </c>
    </row>
    <row r="4" spans="1:9" x14ac:dyDescent="0.3">
      <c r="A4">
        <v>1</v>
      </c>
      <c r="B4" t="s">
        <v>2</v>
      </c>
      <c r="C4" s="2">
        <v>46055</v>
      </c>
      <c r="D4" s="3">
        <v>46059</v>
      </c>
      <c r="E4" s="3">
        <v>2500</v>
      </c>
      <c r="F4" t="s">
        <v>21</v>
      </c>
      <c r="G4">
        <v>15000</v>
      </c>
      <c r="H4" s="3">
        <f>E4+G4</f>
        <v>17500</v>
      </c>
      <c r="I4" s="3">
        <f>E4*$I$3</f>
        <v>250</v>
      </c>
    </row>
    <row r="5" spans="1:9" x14ac:dyDescent="0.3">
      <c r="A5">
        <v>2</v>
      </c>
      <c r="B5" t="s">
        <v>17</v>
      </c>
      <c r="C5" s="2">
        <v>46084</v>
      </c>
      <c r="D5" s="3">
        <v>46089</v>
      </c>
      <c r="E5" s="3">
        <v>3000</v>
      </c>
      <c r="F5" t="s">
        <v>22</v>
      </c>
      <c r="G5">
        <v>13000</v>
      </c>
      <c r="H5" s="3">
        <f>E5+G5</f>
        <v>16000</v>
      </c>
      <c r="I5" s="3">
        <f t="shared" ref="I5:I8" si="0">E5*$I$3</f>
        <v>300</v>
      </c>
    </row>
    <row r="6" spans="1:9" x14ac:dyDescent="0.3">
      <c r="A6">
        <v>3</v>
      </c>
      <c r="B6" t="s">
        <v>18</v>
      </c>
      <c r="C6" s="2">
        <v>46116</v>
      </c>
      <c r="D6" s="3">
        <v>46122</v>
      </c>
      <c r="E6" s="3">
        <v>4000</v>
      </c>
      <c r="F6" t="s">
        <v>3</v>
      </c>
      <c r="G6">
        <v>14000</v>
      </c>
      <c r="H6" s="3">
        <f>E6+G6</f>
        <v>18000</v>
      </c>
      <c r="I6" s="3">
        <f t="shared" si="0"/>
        <v>400</v>
      </c>
    </row>
    <row r="7" spans="1:9" x14ac:dyDescent="0.3">
      <c r="A7">
        <v>4</v>
      </c>
      <c r="B7" t="s">
        <v>19</v>
      </c>
      <c r="C7" s="2">
        <v>46148</v>
      </c>
      <c r="D7" s="35">
        <v>46152</v>
      </c>
      <c r="E7" s="3">
        <v>3000</v>
      </c>
      <c r="F7" t="s">
        <v>23</v>
      </c>
      <c r="G7">
        <v>12000</v>
      </c>
      <c r="H7" s="3">
        <f>E7+G7</f>
        <v>15000</v>
      </c>
      <c r="I7" s="3">
        <f t="shared" si="0"/>
        <v>300</v>
      </c>
    </row>
    <row r="8" spans="1:9" x14ac:dyDescent="0.3">
      <c r="A8">
        <v>5</v>
      </c>
      <c r="B8" t="s">
        <v>20</v>
      </c>
      <c r="C8" s="2">
        <v>46212</v>
      </c>
      <c r="D8" s="3">
        <v>46215</v>
      </c>
      <c r="E8" s="3">
        <v>2500</v>
      </c>
      <c r="F8" t="s">
        <v>24</v>
      </c>
      <c r="G8">
        <v>15000</v>
      </c>
      <c r="H8" s="3">
        <f>E8+G8</f>
        <v>17500</v>
      </c>
      <c r="I8" s="3">
        <f t="shared" si="0"/>
        <v>250</v>
      </c>
    </row>
    <row r="11" spans="1:9" x14ac:dyDescent="0.3">
      <c r="E11" s="36" t="s">
        <v>135</v>
      </c>
    </row>
    <row r="14" spans="1:9" x14ac:dyDescent="0.3">
      <c r="G14" t="s">
        <v>12</v>
      </c>
    </row>
    <row r="15" spans="1:9" x14ac:dyDescent="0.3">
      <c r="A15" t="s">
        <v>136</v>
      </c>
      <c r="B15" t="s">
        <v>137</v>
      </c>
      <c r="C15" t="s">
        <v>138</v>
      </c>
      <c r="D15" s="3" t="s">
        <v>139</v>
      </c>
      <c r="E15" s="3" t="s">
        <v>140</v>
      </c>
      <c r="F15" t="s">
        <v>165</v>
      </c>
      <c r="G15" t="s">
        <v>164</v>
      </c>
    </row>
    <row r="16" spans="1:9" x14ac:dyDescent="0.3">
      <c r="A16" t="s">
        <v>141</v>
      </c>
      <c r="B16" t="s">
        <v>151</v>
      </c>
      <c r="C16">
        <v>12</v>
      </c>
      <c r="D16" s="3">
        <v>52000</v>
      </c>
      <c r="E16" s="33">
        <v>624000</v>
      </c>
      <c r="F16" cm="1">
        <f t="array" ref="F16:F25">C16:C25*D16:D25</f>
        <v>624000</v>
      </c>
      <c r="G16" t="str" cm="1">
        <f t="array" ref="G16:G26">IF(F16:F26,"CORRECT","MISMATCH")</f>
        <v>CORRECT</v>
      </c>
    </row>
    <row r="17" spans="1:7" x14ac:dyDescent="0.3">
      <c r="A17" t="s">
        <v>142</v>
      </c>
      <c r="B17" t="s">
        <v>152</v>
      </c>
      <c r="C17">
        <v>85</v>
      </c>
      <c r="D17" s="3">
        <v>450</v>
      </c>
      <c r="E17" s="3">
        <v>38250</v>
      </c>
      <c r="F17">
        <v>38250</v>
      </c>
      <c r="G17" t="str">
        <v>CORRECT</v>
      </c>
    </row>
    <row r="18" spans="1:7" x14ac:dyDescent="0.3">
      <c r="A18" t="s">
        <v>143</v>
      </c>
      <c r="B18" t="s">
        <v>153</v>
      </c>
      <c r="C18">
        <v>56</v>
      </c>
      <c r="D18" s="3">
        <v>900</v>
      </c>
      <c r="E18" s="3">
        <v>50400</v>
      </c>
      <c r="F18">
        <v>50400</v>
      </c>
      <c r="G18" t="str">
        <v>CORRECT</v>
      </c>
    </row>
    <row r="19" spans="1:7" x14ac:dyDescent="0.3">
      <c r="A19" t="s">
        <v>144</v>
      </c>
      <c r="B19" t="s">
        <v>154</v>
      </c>
      <c r="C19">
        <v>18</v>
      </c>
      <c r="D19" s="3">
        <v>9500</v>
      </c>
      <c r="E19" s="3">
        <v>171000</v>
      </c>
      <c r="F19">
        <v>171000</v>
      </c>
      <c r="G19" t="str">
        <v>CORRECT</v>
      </c>
    </row>
    <row r="20" spans="1:7" x14ac:dyDescent="0.3">
      <c r="A20" t="s">
        <v>145</v>
      </c>
      <c r="B20" t="s">
        <v>155</v>
      </c>
      <c r="C20">
        <v>140</v>
      </c>
      <c r="D20" s="3">
        <v>120</v>
      </c>
      <c r="E20" s="3">
        <v>16800</v>
      </c>
      <c r="F20">
        <v>16800</v>
      </c>
      <c r="G20" t="str">
        <v>CORRECT</v>
      </c>
    </row>
    <row r="21" spans="1:7" x14ac:dyDescent="0.3">
      <c r="A21" t="s">
        <v>146</v>
      </c>
      <c r="B21" t="s">
        <v>156</v>
      </c>
      <c r="C21">
        <v>32</v>
      </c>
      <c r="D21" s="3">
        <v>1500</v>
      </c>
      <c r="E21" s="3">
        <v>48000</v>
      </c>
      <c r="F21">
        <v>48000</v>
      </c>
      <c r="G21" t="str">
        <v>CORRECT</v>
      </c>
    </row>
    <row r="22" spans="1:7" x14ac:dyDescent="0.3">
      <c r="A22" t="s">
        <v>147</v>
      </c>
      <c r="B22" t="s">
        <v>157</v>
      </c>
      <c r="C22">
        <v>7</v>
      </c>
      <c r="D22" s="3">
        <v>14500</v>
      </c>
      <c r="E22" s="3">
        <v>101500</v>
      </c>
      <c r="F22">
        <v>101500</v>
      </c>
      <c r="G22" t="str">
        <v>CORRECT</v>
      </c>
    </row>
    <row r="23" spans="1:7" x14ac:dyDescent="0.3">
      <c r="A23" t="s">
        <v>148</v>
      </c>
      <c r="B23" t="s">
        <v>158</v>
      </c>
      <c r="C23">
        <v>63</v>
      </c>
      <c r="D23" s="3">
        <v>700</v>
      </c>
      <c r="E23" s="3">
        <v>44100</v>
      </c>
      <c r="F23">
        <v>44100</v>
      </c>
      <c r="G23" t="str">
        <v>CORRECT</v>
      </c>
    </row>
    <row r="24" spans="1:7" x14ac:dyDescent="0.3">
      <c r="A24" t="s">
        <v>149</v>
      </c>
      <c r="B24" t="s">
        <v>159</v>
      </c>
      <c r="C24">
        <v>22</v>
      </c>
      <c r="D24" s="3">
        <v>2800</v>
      </c>
      <c r="E24" s="3">
        <v>61600</v>
      </c>
      <c r="F24">
        <v>61600</v>
      </c>
      <c r="G24" t="str">
        <v>CORRECT</v>
      </c>
    </row>
    <row r="25" spans="1:7" x14ac:dyDescent="0.3">
      <c r="A25" t="s">
        <v>150</v>
      </c>
      <c r="B25" t="s">
        <v>160</v>
      </c>
      <c r="C25">
        <v>15</v>
      </c>
      <c r="D25" s="3">
        <v>2200</v>
      </c>
      <c r="E25" s="3">
        <v>33000</v>
      </c>
      <c r="F25">
        <v>33000</v>
      </c>
      <c r="G25" t="str">
        <v>CORRECT</v>
      </c>
    </row>
    <row r="26" spans="1:7" x14ac:dyDescent="0.3">
      <c r="G26" t="str">
        <v>MISMATCH</v>
      </c>
    </row>
    <row r="27" spans="1:7" x14ac:dyDescent="0.3">
      <c r="B27" t="s">
        <v>40</v>
      </c>
      <c r="C27">
        <f>SUM(C16:C25)</f>
        <v>450</v>
      </c>
    </row>
    <row r="28" spans="1:7" x14ac:dyDescent="0.3">
      <c r="B28" t="s">
        <v>161</v>
      </c>
      <c r="C28" s="3">
        <f>MAX(E16:E25)</f>
        <v>624000</v>
      </c>
    </row>
    <row r="29" spans="1:7" x14ac:dyDescent="0.3">
      <c r="B29" t="s">
        <v>162</v>
      </c>
      <c r="C29" s="3">
        <f>MIN(E16:E25)</f>
        <v>16800</v>
      </c>
    </row>
    <row r="30" spans="1:7" x14ac:dyDescent="0.3">
      <c r="B30" t="s">
        <v>49</v>
      </c>
      <c r="C30">
        <f>COUNTA(Sheet5!C16:C25)</f>
        <v>10</v>
      </c>
    </row>
    <row r="31" spans="1:7" x14ac:dyDescent="0.3">
      <c r="B31" t="s">
        <v>163</v>
      </c>
      <c r="C31" s="3">
        <f>AVERAGE(E16:E25)</f>
        <v>118865</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31F80-8CBB-4CA5-B08C-2416CCF2A342}">
  <sheetPr codeName="Sheet6"/>
  <dimension ref="A1:H101"/>
  <sheetViews>
    <sheetView topLeftCell="A22" zoomScale="57" workbookViewId="0">
      <selection activeCell="E41" sqref="E41"/>
    </sheetView>
  </sheetViews>
  <sheetFormatPr defaultRowHeight="14.4" x14ac:dyDescent="0.3"/>
  <cols>
    <col min="1" max="1" width="14.44140625" customWidth="1"/>
    <col min="2" max="2" width="28" customWidth="1"/>
    <col min="3" max="3" width="16.77734375" customWidth="1"/>
    <col min="4" max="4" width="36.21875" customWidth="1"/>
    <col min="5" max="5" width="36.77734375" customWidth="1"/>
    <col min="6" max="6" width="20" customWidth="1"/>
    <col min="7" max="7" width="22.21875" customWidth="1"/>
    <col min="8" max="8" width="33" customWidth="1"/>
    <col min="9" max="9" width="29.77734375" customWidth="1"/>
  </cols>
  <sheetData>
    <row r="1" spans="1:6" x14ac:dyDescent="0.3">
      <c r="F1" s="4" t="s">
        <v>167</v>
      </c>
    </row>
    <row r="4" spans="1:6" x14ac:dyDescent="0.3">
      <c r="A4" s="37" t="s">
        <v>166</v>
      </c>
      <c r="B4" s="37"/>
      <c r="C4" s="37"/>
      <c r="D4" s="37"/>
      <c r="E4" s="37"/>
    </row>
    <row r="5" spans="1:6" x14ac:dyDescent="0.3">
      <c r="A5" s="37"/>
      <c r="B5" s="37"/>
      <c r="C5" s="37"/>
      <c r="D5" s="37"/>
      <c r="E5" s="37"/>
    </row>
    <row r="6" spans="1:6" x14ac:dyDescent="0.3">
      <c r="A6" s="37" t="s">
        <v>168</v>
      </c>
      <c r="B6" s="37" t="s">
        <v>169</v>
      </c>
      <c r="C6" s="37"/>
      <c r="D6" s="37"/>
      <c r="E6" s="37"/>
    </row>
    <row r="7" spans="1:6" x14ac:dyDescent="0.3">
      <c r="A7" s="37">
        <v>40</v>
      </c>
      <c r="B7" s="37">
        <v>25</v>
      </c>
      <c r="C7" s="37"/>
      <c r="D7" s="37"/>
      <c r="E7" s="37"/>
    </row>
    <row r="9" spans="1:6" x14ac:dyDescent="0.3">
      <c r="A9" s="37" t="s">
        <v>171</v>
      </c>
      <c r="B9" s="37"/>
      <c r="C9" s="37"/>
      <c r="D9" s="37"/>
      <c r="E9" s="37"/>
      <c r="F9" s="37"/>
    </row>
    <row r="10" spans="1:6" x14ac:dyDescent="0.3">
      <c r="A10" s="37"/>
      <c r="B10" s="37"/>
      <c r="C10" s="37"/>
      <c r="D10" s="37"/>
      <c r="E10" s="37"/>
      <c r="F10" s="37"/>
    </row>
    <row r="11" spans="1:6" x14ac:dyDescent="0.3">
      <c r="A11" s="37" t="s">
        <v>170</v>
      </c>
      <c r="B11" s="37" t="s">
        <v>170</v>
      </c>
      <c r="C11" s="37"/>
      <c r="D11" s="37"/>
      <c r="E11" s="37"/>
      <c r="F11" s="37"/>
    </row>
    <row r="12" spans="1:6" x14ac:dyDescent="0.3">
      <c r="A12" s="37">
        <v>40</v>
      </c>
      <c r="B12" s="37">
        <v>25</v>
      </c>
      <c r="C12" s="37" t="str">
        <f>IF(OR(A12&gt;30,B12&gt;30),"TRUE","FALSE")</f>
        <v>TRUE</v>
      </c>
      <c r="D12" s="37"/>
      <c r="E12" s="37"/>
      <c r="F12" s="37"/>
    </row>
    <row r="14" spans="1:6" x14ac:dyDescent="0.3">
      <c r="F14" s="4" t="s">
        <v>172</v>
      </c>
    </row>
    <row r="16" spans="1:6" x14ac:dyDescent="0.3">
      <c r="A16" s="37" t="s">
        <v>173</v>
      </c>
      <c r="B16" s="37"/>
      <c r="C16" s="37"/>
    </row>
    <row r="17" spans="1:8" x14ac:dyDescent="0.3">
      <c r="A17" s="37"/>
      <c r="B17" s="37"/>
      <c r="C17" s="37"/>
    </row>
    <row r="18" spans="1:8" x14ac:dyDescent="0.3">
      <c r="A18" s="37" t="s">
        <v>174</v>
      </c>
      <c r="B18" s="37" t="s">
        <v>175</v>
      </c>
      <c r="C18" s="37"/>
    </row>
    <row r="19" spans="1:8" x14ac:dyDescent="0.3">
      <c r="A19" s="37" t="s">
        <v>176</v>
      </c>
      <c r="B19" s="37" t="b">
        <f>ISBLANK(A19)</f>
        <v>0</v>
      </c>
      <c r="C19" s="37"/>
    </row>
    <row r="20" spans="1:8" x14ac:dyDescent="0.3">
      <c r="A20" s="37"/>
      <c r="B20" s="37" t="b">
        <f>ISBLANK(A20)</f>
        <v>1</v>
      </c>
      <c r="C20" s="37"/>
    </row>
    <row r="22" spans="1:8" x14ac:dyDescent="0.3">
      <c r="A22" t="s">
        <v>177</v>
      </c>
    </row>
    <row r="24" spans="1:8" x14ac:dyDescent="0.3">
      <c r="B24" t="str">
        <f>IF(ISBLANK(A24),"NO DATA","CELL IS OK")</f>
        <v>NO DATA</v>
      </c>
    </row>
    <row r="25" spans="1:8" x14ac:dyDescent="0.3">
      <c r="A25" t="s">
        <v>178</v>
      </c>
      <c r="B25" t="str">
        <f>IF(ISBLANK(A25),"NO DATA","CELL IS OK")</f>
        <v>CELL IS OK</v>
      </c>
    </row>
    <row r="27" spans="1:8" x14ac:dyDescent="0.3">
      <c r="F27" s="4" t="s">
        <v>179</v>
      </c>
      <c r="H27" t="s">
        <v>182</v>
      </c>
    </row>
    <row r="29" spans="1:8" x14ac:dyDescent="0.3">
      <c r="A29" t="s">
        <v>180</v>
      </c>
    </row>
    <row r="31" spans="1:8" x14ac:dyDescent="0.3">
      <c r="A31" t="s">
        <v>181</v>
      </c>
      <c r="B31" t="str">
        <f>LEFT(A31,4)</f>
        <v>lady</v>
      </c>
    </row>
    <row r="35" spans="1:8" x14ac:dyDescent="0.3">
      <c r="A35" t="s">
        <v>183</v>
      </c>
    </row>
    <row r="37" spans="1:8" x14ac:dyDescent="0.3">
      <c r="A37" t="s">
        <v>184</v>
      </c>
      <c r="C37" t="str">
        <f>RIGHT(A37,8)</f>
        <v>ZEPPELIN</v>
      </c>
    </row>
    <row r="40" spans="1:8" x14ac:dyDescent="0.3">
      <c r="A40" t="s">
        <v>185</v>
      </c>
      <c r="E40" t="str" cm="1">
        <f t="array" ref="E40:H40">MID(A40:D40,1,19)</f>
        <v>HAIGUYSMYNAMEISVIAM</v>
      </c>
      <c r="F40" t="str">
        <v/>
      </c>
      <c r="G40" t="str">
        <v/>
      </c>
      <c r="H40" t="str">
        <v/>
      </c>
    </row>
    <row r="43" spans="1:8" x14ac:dyDescent="0.3">
      <c r="E43" s="4" t="s">
        <v>186</v>
      </c>
    </row>
    <row r="45" spans="1:8" x14ac:dyDescent="0.3">
      <c r="A45" s="37" t="s">
        <v>187</v>
      </c>
      <c r="B45" s="37"/>
      <c r="C45" s="37" t="s">
        <v>188</v>
      </c>
      <c r="D45" s="37"/>
      <c r="E45" s="37" t="s">
        <v>189</v>
      </c>
      <c r="F45" s="37" t="s">
        <v>190</v>
      </c>
      <c r="G45" s="37" t="s">
        <v>190</v>
      </c>
    </row>
    <row r="46" spans="1:8" x14ac:dyDescent="0.3">
      <c r="A46" s="37" t="s">
        <v>191</v>
      </c>
      <c r="B46" s="37"/>
      <c r="C46" s="37" t="s">
        <v>194</v>
      </c>
      <c r="D46" s="37"/>
      <c r="E46" s="37" t="s">
        <v>197</v>
      </c>
      <c r="F46" s="37" t="str">
        <f>CONCATENATE(C46,E46)</f>
        <v>ROGISON</v>
      </c>
      <c r="G46" s="37" t="str">
        <f>CONCATENATE(C46,"-",E46)</f>
        <v>ROGI-SON</v>
      </c>
    </row>
    <row r="47" spans="1:8" x14ac:dyDescent="0.3">
      <c r="A47" s="37" t="s">
        <v>192</v>
      </c>
      <c r="B47" s="37"/>
      <c r="C47" s="37" t="s">
        <v>195</v>
      </c>
      <c r="D47" s="37"/>
      <c r="E47" s="37" t="s">
        <v>198</v>
      </c>
      <c r="F47" s="37" t="str">
        <f t="shared" ref="F47:F48" si="0">CONCATENATE(C47,E47)</f>
        <v>BROSSKUMAR</v>
      </c>
      <c r="G47" s="37" t="str">
        <f t="shared" ref="G47:G48" si="1">CONCATENATE(C47,"-",E47)</f>
        <v>BROSS-KUMAR</v>
      </c>
    </row>
    <row r="48" spans="1:8" x14ac:dyDescent="0.3">
      <c r="A48" s="37" t="s">
        <v>193</v>
      </c>
      <c r="B48" s="37"/>
      <c r="C48" s="37" t="s">
        <v>196</v>
      </c>
      <c r="D48" s="37"/>
      <c r="E48" s="37" t="s">
        <v>199</v>
      </c>
      <c r="F48" s="37" t="str">
        <f t="shared" si="0"/>
        <v>JOSNICDASS</v>
      </c>
      <c r="G48" s="37" t="str">
        <f t="shared" si="1"/>
        <v>JOSNIC-DASS</v>
      </c>
    </row>
    <row r="49" spans="1:7" x14ac:dyDescent="0.3">
      <c r="A49" s="37"/>
      <c r="B49" s="37"/>
      <c r="C49" s="37"/>
      <c r="D49" s="37"/>
      <c r="E49" s="37"/>
      <c r="F49" s="37"/>
      <c r="G49" s="37"/>
    </row>
    <row r="51" spans="1:7" x14ac:dyDescent="0.3">
      <c r="E51" s="4" t="s">
        <v>200</v>
      </c>
    </row>
    <row r="53" spans="1:7" x14ac:dyDescent="0.3">
      <c r="C53" s="38" t="s">
        <v>201</v>
      </c>
      <c r="E53" s="38" t="s">
        <v>201</v>
      </c>
    </row>
    <row r="54" spans="1:7" x14ac:dyDescent="0.3">
      <c r="C54" s="37" t="s">
        <v>202</v>
      </c>
      <c r="E54" s="37" t="s">
        <v>207</v>
      </c>
    </row>
    <row r="55" spans="1:7" x14ac:dyDescent="0.3">
      <c r="C55" s="37" t="s">
        <v>203</v>
      </c>
      <c r="E55" s="37" t="s">
        <v>208</v>
      </c>
    </row>
    <row r="56" spans="1:7" x14ac:dyDescent="0.3">
      <c r="C56" s="37" t="s">
        <v>204</v>
      </c>
      <c r="E56" s="37" t="s">
        <v>209</v>
      </c>
    </row>
    <row r="57" spans="1:7" x14ac:dyDescent="0.3">
      <c r="C57" s="37" t="s">
        <v>205</v>
      </c>
      <c r="E57" s="37" t="s">
        <v>210</v>
      </c>
    </row>
    <row r="58" spans="1:7" x14ac:dyDescent="0.3">
      <c r="C58" s="37" t="s">
        <v>206</v>
      </c>
      <c r="E58" s="37" t="s">
        <v>211</v>
      </c>
    </row>
    <row r="60" spans="1:7" x14ac:dyDescent="0.3">
      <c r="B60" t="s">
        <v>112</v>
      </c>
      <c r="C60" t="str">
        <f>_xlfn.TEXTJOIN(" ",TRUE, C54:C58)</f>
        <v>MARY HAD A  LITTELE LAMB</v>
      </c>
    </row>
    <row r="61" spans="1:7" x14ac:dyDescent="0.3">
      <c r="E61" t="str">
        <f>_xlfn.TEXTJOIN(" ",FALSE,D54:D59)</f>
        <v xml:space="preserve">     </v>
      </c>
    </row>
    <row r="63" spans="1:7" x14ac:dyDescent="0.3">
      <c r="E63" s="4" t="s">
        <v>212</v>
      </c>
    </row>
    <row r="64" spans="1:7" x14ac:dyDescent="0.3">
      <c r="C64" t="s">
        <v>201</v>
      </c>
    </row>
    <row r="65" spans="1:7" x14ac:dyDescent="0.3">
      <c r="C65" t="s">
        <v>213</v>
      </c>
      <c r="E65" t="s">
        <v>216</v>
      </c>
    </row>
    <row r="67" spans="1:7" x14ac:dyDescent="0.3">
      <c r="C67" t="s">
        <v>215</v>
      </c>
      <c r="E67" t="s">
        <v>217</v>
      </c>
    </row>
    <row r="69" spans="1:7" x14ac:dyDescent="0.3">
      <c r="C69" t="s">
        <v>214</v>
      </c>
      <c r="E69" t="s">
        <v>218</v>
      </c>
    </row>
    <row r="71" spans="1:7" x14ac:dyDescent="0.3">
      <c r="C71" t="str">
        <f>_xlfn.CONCAT(C65:C69)</f>
        <v>THEREISANENEMY</v>
      </c>
      <c r="E71" t="s">
        <v>219</v>
      </c>
      <c r="F71" t="str">
        <f>_xlfn.CONCAT(E65:E73)</f>
        <v>I AMTHEKING OFTHE INDIANOCEAN</v>
      </c>
    </row>
    <row r="73" spans="1:7" x14ac:dyDescent="0.3">
      <c r="E73" t="s">
        <v>220</v>
      </c>
    </row>
    <row r="75" spans="1:7" x14ac:dyDescent="0.3">
      <c r="B75" t="s">
        <v>290</v>
      </c>
      <c r="E75" s="4" t="s">
        <v>299</v>
      </c>
    </row>
    <row r="76" spans="1:7" x14ac:dyDescent="0.3">
      <c r="A76" s="41" t="s">
        <v>248</v>
      </c>
      <c r="B76" s="41" t="s">
        <v>249</v>
      </c>
      <c r="C76" s="41" t="s">
        <v>250</v>
      </c>
      <c r="D76" s="41" t="s">
        <v>251</v>
      </c>
      <c r="E76" s="41" t="s">
        <v>252</v>
      </c>
      <c r="F76" s="41" t="s">
        <v>253</v>
      </c>
      <c r="G76" s="41" t="s">
        <v>254</v>
      </c>
    </row>
    <row r="77" spans="1:7" x14ac:dyDescent="0.3">
      <c r="A77" s="41" t="s">
        <v>255</v>
      </c>
      <c r="B77" s="41" t="s">
        <v>256</v>
      </c>
      <c r="C77" s="41">
        <v>9876543210</v>
      </c>
      <c r="D77" s="41" t="s">
        <v>257</v>
      </c>
      <c r="E77" s="41" t="s">
        <v>258</v>
      </c>
      <c r="F77" s="41">
        <v>44239</v>
      </c>
      <c r="G77" s="41" t="s">
        <v>259</v>
      </c>
    </row>
    <row r="78" spans="1:7" x14ac:dyDescent="0.3">
      <c r="A78" s="41" t="s">
        <v>260</v>
      </c>
      <c r="B78" s="41" t="s">
        <v>261</v>
      </c>
      <c r="C78" s="41">
        <v>9876543211</v>
      </c>
      <c r="D78" s="41" t="s">
        <v>262</v>
      </c>
      <c r="E78" s="41" t="s">
        <v>263</v>
      </c>
      <c r="F78" s="41">
        <v>44140</v>
      </c>
      <c r="G78" s="41" t="s">
        <v>259</v>
      </c>
    </row>
    <row r="79" spans="1:7" x14ac:dyDescent="0.3">
      <c r="A79" s="41" t="s">
        <v>264</v>
      </c>
      <c r="B79" s="41" t="s">
        <v>265</v>
      </c>
      <c r="C79" s="41">
        <v>9876509876</v>
      </c>
      <c r="D79" s="41"/>
      <c r="E79" s="41" t="s">
        <v>266</v>
      </c>
      <c r="F79" s="41">
        <v>44030</v>
      </c>
      <c r="G79" s="41"/>
    </row>
    <row r="80" spans="1:7" x14ac:dyDescent="0.3">
      <c r="A80" s="41" t="s">
        <v>267</v>
      </c>
      <c r="B80" s="41" t="s">
        <v>268</v>
      </c>
      <c r="C80" s="41"/>
      <c r="D80" s="41" t="s">
        <v>269</v>
      </c>
      <c r="E80" s="41" t="s">
        <v>270</v>
      </c>
      <c r="F80" s="41">
        <v>43542</v>
      </c>
      <c r="G80" s="41" t="s">
        <v>271</v>
      </c>
    </row>
    <row r="81" spans="1:8" x14ac:dyDescent="0.3">
      <c r="A81" s="41" t="s">
        <v>272</v>
      </c>
      <c r="B81" s="41" t="s">
        <v>273</v>
      </c>
      <c r="C81" s="41">
        <v>9901234567</v>
      </c>
      <c r="D81" s="41" t="s">
        <v>274</v>
      </c>
      <c r="E81" s="41" t="s">
        <v>275</v>
      </c>
      <c r="F81" s="41">
        <v>44446</v>
      </c>
      <c r="G81" s="41" t="s">
        <v>259</v>
      </c>
    </row>
    <row r="82" spans="1:8" x14ac:dyDescent="0.3">
      <c r="A82" s="41" t="s">
        <v>276</v>
      </c>
      <c r="B82" s="41" t="s">
        <v>277</v>
      </c>
      <c r="C82" s="41">
        <v>991234567</v>
      </c>
      <c r="D82" s="41" t="s">
        <v>278</v>
      </c>
      <c r="E82" s="41" t="s">
        <v>266</v>
      </c>
      <c r="F82" s="41">
        <v>44848</v>
      </c>
      <c r="G82" s="41" t="s">
        <v>259</v>
      </c>
    </row>
    <row r="83" spans="1:8" x14ac:dyDescent="0.3">
      <c r="A83" s="41" t="s">
        <v>279</v>
      </c>
      <c r="B83" s="41" t="s">
        <v>280</v>
      </c>
      <c r="C83" s="41">
        <v>9876543210</v>
      </c>
      <c r="D83" s="41"/>
      <c r="E83" s="41"/>
      <c r="F83" s="41">
        <v>43831</v>
      </c>
      <c r="G83" s="41" t="s">
        <v>259</v>
      </c>
    </row>
    <row r="84" spans="1:8" x14ac:dyDescent="0.3">
      <c r="A84" s="41" t="s">
        <v>281</v>
      </c>
      <c r="B84" s="41" t="s">
        <v>282</v>
      </c>
      <c r="C84" s="41">
        <v>8899776655</v>
      </c>
      <c r="D84" s="41" t="s">
        <v>283</v>
      </c>
      <c r="E84" s="41" t="s">
        <v>266</v>
      </c>
      <c r="F84" s="41">
        <v>43445</v>
      </c>
      <c r="G84" s="41" t="s">
        <v>271</v>
      </c>
    </row>
    <row r="85" spans="1:8" x14ac:dyDescent="0.3">
      <c r="A85" s="41" t="s">
        <v>284</v>
      </c>
      <c r="B85" s="41" t="s">
        <v>285</v>
      </c>
      <c r="C85" s="41">
        <v>9901122334</v>
      </c>
      <c r="D85" s="41" t="s">
        <v>286</v>
      </c>
      <c r="E85" s="41"/>
      <c r="F85" s="41">
        <v>45039</v>
      </c>
      <c r="G85" s="41" t="s">
        <v>259</v>
      </c>
    </row>
    <row r="86" spans="1:8" x14ac:dyDescent="0.3">
      <c r="A86" s="41" t="s">
        <v>287</v>
      </c>
      <c r="B86" s="41" t="s">
        <v>288</v>
      </c>
      <c r="C86" s="41">
        <v>9811122233</v>
      </c>
      <c r="D86" s="41" t="s">
        <v>289</v>
      </c>
      <c r="E86" s="41" t="s">
        <v>258</v>
      </c>
      <c r="F86" s="41">
        <v>44728</v>
      </c>
      <c r="G86" s="41"/>
    </row>
    <row r="87" spans="1:8" x14ac:dyDescent="0.3">
      <c r="A87" s="41"/>
      <c r="B87" s="41"/>
      <c r="C87" s="41"/>
      <c r="D87" s="41"/>
      <c r="E87" s="41"/>
      <c r="F87" s="41"/>
      <c r="G87" s="41"/>
    </row>
    <row r="88" spans="1:8" x14ac:dyDescent="0.3">
      <c r="A88" s="41"/>
      <c r="B88" s="41"/>
      <c r="C88" s="41"/>
      <c r="D88" s="41"/>
      <c r="E88" s="41"/>
      <c r="F88" s="41"/>
      <c r="G88" s="41"/>
    </row>
    <row r="89" spans="1:8" x14ac:dyDescent="0.3">
      <c r="A89" s="41"/>
      <c r="B89" s="41"/>
      <c r="C89" s="41"/>
      <c r="D89" s="41"/>
      <c r="E89" s="41"/>
      <c r="F89" s="41"/>
      <c r="G89" s="41"/>
    </row>
    <row r="90" spans="1:8" x14ac:dyDescent="0.3">
      <c r="A90" s="41"/>
      <c r="B90" s="41"/>
      <c r="C90" s="41"/>
      <c r="D90" s="41"/>
      <c r="F90" s="41"/>
      <c r="G90" s="41"/>
    </row>
    <row r="91" spans="1:8" x14ac:dyDescent="0.3">
      <c r="A91" s="41" t="s">
        <v>291</v>
      </c>
      <c r="B91" s="41" t="s">
        <v>292</v>
      </c>
      <c r="C91" s="41" t="s">
        <v>293</v>
      </c>
      <c r="D91" s="41" t="s">
        <v>294</v>
      </c>
      <c r="E91" s="41" t="s">
        <v>295</v>
      </c>
      <c r="F91" s="41" t="s">
        <v>296</v>
      </c>
      <c r="G91" s="41" t="s">
        <v>297</v>
      </c>
      <c r="H91" s="41" t="s">
        <v>298</v>
      </c>
    </row>
    <row r="92" spans="1:8" x14ac:dyDescent="0.3">
      <c r="A92" t="b">
        <f>LEFT(A77,3)="EMP"</f>
        <v>1</v>
      </c>
      <c r="B92" t="str">
        <f>LEFT(B77,5)</f>
        <v>Rahul</v>
      </c>
      <c r="C92" t="str">
        <f>RIGHT(B77,6)</f>
        <v>Sharma</v>
      </c>
      <c r="D92" t="b">
        <f>AND(ISNUMBER(C77),LEN(C77)=10)</f>
        <v>1</v>
      </c>
      <c r="E92" t="str">
        <f>IF(ISBLANK(D77),"NO DATA","TRUE")</f>
        <v>TRUE</v>
      </c>
      <c r="F92" t="str">
        <f>IF(OR(ISBLANK(D77),ISERROR(FIND("@",D77))),"INVALID","VALID")</f>
        <v>VALID</v>
      </c>
      <c r="G92" t="str">
        <f>_xlfn.CONCAT(B77,"-",A77)</f>
        <v>Rahul Sharma-emp001</v>
      </c>
      <c r="H92" t="str">
        <f>_xlfn.TEXTJOIN("-",TRUE,B77,A77,E77,F77)</f>
        <v>Rahul Sharma-emp001-Sales-44239</v>
      </c>
    </row>
    <row r="93" spans="1:8" x14ac:dyDescent="0.3">
      <c r="A93" t="b">
        <f t="shared" ref="A93:A101" si="2">LEFT(A78,3)="EMP"</f>
        <v>1</v>
      </c>
      <c r="B93" t="str">
        <f t="shared" ref="B93:B101" si="3">LEFT(B78,5)</f>
        <v>Anita</v>
      </c>
      <c r="C93" t="str">
        <f t="shared" ref="C93:C101" si="4">RIGHT(B78,6)</f>
        <v xml:space="preserve"> Singh</v>
      </c>
      <c r="D93" t="b">
        <f t="shared" ref="D93:D101" si="5">AND(ISNUMBER(C78),LEN(C78)=10)</f>
        <v>1</v>
      </c>
      <c r="E93" t="str">
        <f t="shared" ref="E93:E101" si="6">IF(ISBLANK(D78),"NO DATA","TRUE")</f>
        <v>TRUE</v>
      </c>
      <c r="F93" t="str">
        <f t="shared" ref="F93:F101" si="7">IF(OR(ISBLANK(D78),ISERROR(FIND("@",D78))),"INVALID","VALID")</f>
        <v>INVALID</v>
      </c>
      <c r="G93" t="str">
        <f t="shared" ref="G93:G101" si="8">_xlfn.CONCAT(B78,"-",A78)</f>
        <v>Anita Singh-EMP-002</v>
      </c>
      <c r="H93" t="str">
        <f t="shared" ref="H93:H101" si="9">_xlfn.TEXTJOIN("-",TRUE,B78,A78,E78,F78)</f>
        <v>Anita Singh-EMP-002-HR-44140</v>
      </c>
    </row>
    <row r="94" spans="1:8" x14ac:dyDescent="0.3">
      <c r="A94" t="b">
        <f t="shared" si="2"/>
        <v>1</v>
      </c>
      <c r="B94" t="str">
        <f t="shared" si="3"/>
        <v>David</v>
      </c>
      <c r="C94" t="str">
        <f t="shared" si="4"/>
        <v>athews</v>
      </c>
      <c r="D94" t="b">
        <f t="shared" si="5"/>
        <v>1</v>
      </c>
      <c r="E94" t="str">
        <f t="shared" si="6"/>
        <v>NO DATA</v>
      </c>
      <c r="F94" t="str">
        <f t="shared" si="7"/>
        <v>INVALID</v>
      </c>
      <c r="G94" t="str">
        <f t="shared" si="8"/>
        <v>David Mathews-EMP003</v>
      </c>
      <c r="H94" t="str">
        <f t="shared" si="9"/>
        <v>David Mathews-EMP003-IT-44030</v>
      </c>
    </row>
    <row r="95" spans="1:8" x14ac:dyDescent="0.3">
      <c r="A95" t="b">
        <f t="shared" si="2"/>
        <v>1</v>
      </c>
      <c r="B95" t="str">
        <f t="shared" si="3"/>
        <v>Sunil</v>
      </c>
      <c r="C95" t="str">
        <f t="shared" si="4"/>
        <v xml:space="preserve"> Kumar</v>
      </c>
      <c r="D95" t="b">
        <f t="shared" si="5"/>
        <v>0</v>
      </c>
      <c r="E95" t="str">
        <f t="shared" si="6"/>
        <v>TRUE</v>
      </c>
      <c r="F95" t="str">
        <f t="shared" si="7"/>
        <v>VALID</v>
      </c>
      <c r="G95" t="str">
        <f t="shared" si="8"/>
        <v>Sunil Kumar-Emp004</v>
      </c>
      <c r="H95" t="str">
        <f t="shared" si="9"/>
        <v>Sunil Kumar-Emp004-Finance-43542</v>
      </c>
    </row>
    <row r="96" spans="1:8" x14ac:dyDescent="0.3">
      <c r="A96" t="b">
        <f t="shared" si="2"/>
        <v>1</v>
      </c>
      <c r="B96" t="str">
        <f t="shared" si="3"/>
        <v>Priya</v>
      </c>
      <c r="C96" t="str">
        <f t="shared" si="4"/>
        <v>riya R</v>
      </c>
      <c r="D96" t="b">
        <f t="shared" si="5"/>
        <v>1</v>
      </c>
      <c r="E96" t="str">
        <f t="shared" si="6"/>
        <v>TRUE</v>
      </c>
      <c r="F96" t="str">
        <f t="shared" si="7"/>
        <v>VALID</v>
      </c>
      <c r="G96" t="str">
        <f t="shared" si="8"/>
        <v>Priya R-EMP 005</v>
      </c>
      <c r="H96" t="str">
        <f t="shared" si="9"/>
        <v>Priya R-EMP 005-Marketing-44446</v>
      </c>
    </row>
    <row r="97" spans="1:8" x14ac:dyDescent="0.3">
      <c r="A97" t="b">
        <f t="shared" si="2"/>
        <v>1</v>
      </c>
      <c r="B97" t="str">
        <f t="shared" si="3"/>
        <v xml:space="preserve">Aman </v>
      </c>
      <c r="C97" t="str">
        <f t="shared" si="4"/>
        <v xml:space="preserve"> Verma</v>
      </c>
      <c r="D97" t="b">
        <f t="shared" si="5"/>
        <v>0</v>
      </c>
      <c r="E97" t="str">
        <f t="shared" si="6"/>
        <v>TRUE</v>
      </c>
      <c r="F97" t="str">
        <f t="shared" si="7"/>
        <v>VALID</v>
      </c>
      <c r="G97" t="str">
        <f t="shared" si="8"/>
        <v>Aman Verma-EMP006</v>
      </c>
      <c r="H97" t="str">
        <f t="shared" si="9"/>
        <v>Aman Verma-EMP006-IT-44848</v>
      </c>
    </row>
    <row r="98" spans="1:8" x14ac:dyDescent="0.3">
      <c r="A98" t="b">
        <f t="shared" si="2"/>
        <v>1</v>
      </c>
      <c r="B98" t="str">
        <f t="shared" si="3"/>
        <v>Maria</v>
      </c>
      <c r="C98" t="str">
        <f t="shared" si="4"/>
        <v xml:space="preserve"> Lopez</v>
      </c>
      <c r="D98" t="b">
        <f t="shared" si="5"/>
        <v>1</v>
      </c>
      <c r="E98" t="str">
        <f t="shared" si="6"/>
        <v>NO DATA</v>
      </c>
      <c r="F98" t="str">
        <f t="shared" si="7"/>
        <v>INVALID</v>
      </c>
      <c r="G98" t="str">
        <f t="shared" si="8"/>
        <v>Maria Lopez-emp007</v>
      </c>
      <c r="H98" t="str">
        <f t="shared" si="9"/>
        <v>Maria Lopez-emp007-43831</v>
      </c>
    </row>
    <row r="99" spans="1:8" x14ac:dyDescent="0.3">
      <c r="A99" t="b">
        <f t="shared" si="2"/>
        <v>1</v>
      </c>
      <c r="B99" t="str">
        <f t="shared" si="3"/>
        <v xml:space="preserve">John </v>
      </c>
      <c r="C99" t="str">
        <f t="shared" si="4"/>
        <v>n Paul</v>
      </c>
      <c r="D99" t="b">
        <f t="shared" si="5"/>
        <v>1</v>
      </c>
      <c r="E99" t="str">
        <f t="shared" si="6"/>
        <v>TRUE</v>
      </c>
      <c r="F99" t="str">
        <f t="shared" si="7"/>
        <v>VALID</v>
      </c>
      <c r="G99" t="str">
        <f t="shared" si="8"/>
        <v>John Paul-EMP008</v>
      </c>
      <c r="H99" t="str">
        <f t="shared" si="9"/>
        <v>John Paul-EMP008-IT-43445</v>
      </c>
    </row>
    <row r="100" spans="1:8" x14ac:dyDescent="0.3">
      <c r="A100" t="b">
        <f t="shared" si="2"/>
        <v>1</v>
      </c>
      <c r="B100" t="str">
        <f t="shared" si="3"/>
        <v>Khush</v>
      </c>
      <c r="C100" t="str">
        <f t="shared" si="4"/>
        <v>i Jain</v>
      </c>
      <c r="D100" t="b">
        <f t="shared" si="5"/>
        <v>1</v>
      </c>
      <c r="E100" t="str">
        <f t="shared" si="6"/>
        <v>TRUE</v>
      </c>
      <c r="F100" t="str">
        <f t="shared" si="7"/>
        <v>VALID</v>
      </c>
      <c r="G100" t="str">
        <f t="shared" si="8"/>
        <v>Khushi Jain-emp009</v>
      </c>
      <c r="H100" t="str">
        <f t="shared" si="9"/>
        <v>Khushi Jain-emp009-45039</v>
      </c>
    </row>
    <row r="101" spans="1:8" x14ac:dyDescent="0.3">
      <c r="A101" t="b">
        <f t="shared" si="2"/>
        <v>1</v>
      </c>
      <c r="B101" t="str">
        <f t="shared" si="3"/>
        <v>Rohan</v>
      </c>
      <c r="C101" t="str">
        <f t="shared" si="4"/>
        <v>ohan M</v>
      </c>
      <c r="D101" t="b">
        <f t="shared" si="5"/>
        <v>1</v>
      </c>
      <c r="E101" t="str">
        <f t="shared" si="6"/>
        <v>TRUE</v>
      </c>
      <c r="F101" t="str">
        <f t="shared" si="7"/>
        <v>VALID</v>
      </c>
      <c r="G101" t="str">
        <f t="shared" si="8"/>
        <v>Rohan M-EMP010</v>
      </c>
      <c r="H101" t="str">
        <f t="shared" si="9"/>
        <v>Rohan M-EMP010-Sales-44728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F722E-D5B7-4A71-B650-EFFB41382836}">
  <sheetPr codeName="Sheet7"/>
  <dimension ref="A1:I44"/>
  <sheetViews>
    <sheetView topLeftCell="A11" zoomScale="80" zoomScaleNormal="100" workbookViewId="0">
      <selection activeCell="G32" sqref="G32"/>
    </sheetView>
  </sheetViews>
  <sheetFormatPr defaultRowHeight="14.4" x14ac:dyDescent="0.3"/>
  <cols>
    <col min="1" max="1" width="25.88671875" customWidth="1"/>
    <col min="2" max="2" width="26" customWidth="1"/>
    <col min="3" max="3" width="27.88671875" customWidth="1"/>
    <col min="4" max="4" width="18.109375" customWidth="1"/>
    <col min="5" max="5" width="16.77734375" customWidth="1"/>
    <col min="6" max="6" width="16" customWidth="1"/>
    <col min="7" max="7" width="26.6640625" customWidth="1"/>
    <col min="8" max="8" width="29.109375" customWidth="1"/>
    <col min="9" max="9" width="26.44140625" customWidth="1"/>
    <col min="10" max="10" width="15.33203125" customWidth="1"/>
    <col min="11" max="11" width="16.21875" customWidth="1"/>
    <col min="12" max="12" width="17.21875" customWidth="1"/>
    <col min="13" max="13" width="21.44140625" customWidth="1"/>
  </cols>
  <sheetData>
    <row r="1" spans="1:8" x14ac:dyDescent="0.3">
      <c r="A1" s="5" t="s">
        <v>300</v>
      </c>
      <c r="C1" s="4" t="s">
        <v>301</v>
      </c>
      <c r="E1" s="6"/>
    </row>
    <row r="3" spans="1:8" x14ac:dyDescent="0.3">
      <c r="A3" s="4" t="s">
        <v>302</v>
      </c>
    </row>
    <row r="5" spans="1:8" x14ac:dyDescent="0.3">
      <c r="A5" t="s">
        <v>303</v>
      </c>
      <c r="B5" t="s">
        <v>304</v>
      </c>
      <c r="C5" t="s">
        <v>305</v>
      </c>
      <c r="D5" t="s">
        <v>306</v>
      </c>
      <c r="E5" t="s">
        <v>307</v>
      </c>
      <c r="F5" s="37" t="s">
        <v>315</v>
      </c>
      <c r="G5" s="37" t="s">
        <v>307</v>
      </c>
    </row>
    <row r="6" spans="1:8" x14ac:dyDescent="0.3">
      <c r="A6" t="s">
        <v>178</v>
      </c>
      <c r="B6">
        <v>12345</v>
      </c>
      <c r="C6" s="2">
        <v>44902</v>
      </c>
      <c r="D6" s="42">
        <v>3456</v>
      </c>
      <c r="E6" t="s">
        <v>311</v>
      </c>
      <c r="F6" s="37" t="s">
        <v>310</v>
      </c>
      <c r="G6" s="37"/>
    </row>
    <row r="7" spans="1:8" x14ac:dyDescent="0.3">
      <c r="A7" t="s">
        <v>308</v>
      </c>
      <c r="B7">
        <v>23456</v>
      </c>
      <c r="C7" s="2">
        <v>5678</v>
      </c>
      <c r="D7" s="42">
        <v>9087</v>
      </c>
      <c r="E7" t="s">
        <v>312</v>
      </c>
    </row>
    <row r="8" spans="1:8" x14ac:dyDescent="0.3">
      <c r="A8" t="s">
        <v>309</v>
      </c>
      <c r="B8">
        <v>34567</v>
      </c>
      <c r="C8" s="2">
        <v>44872</v>
      </c>
      <c r="D8" s="42">
        <v>7098</v>
      </c>
      <c r="E8" t="s">
        <v>313</v>
      </c>
    </row>
    <row r="9" spans="1:8" x14ac:dyDescent="0.3">
      <c r="A9" t="s">
        <v>310</v>
      </c>
      <c r="B9">
        <v>45678</v>
      </c>
      <c r="C9" s="2">
        <v>44719</v>
      </c>
      <c r="D9" s="42">
        <v>1023</v>
      </c>
      <c r="E9" t="s">
        <v>314</v>
      </c>
    </row>
    <row r="11" spans="1:8" x14ac:dyDescent="0.3">
      <c r="A11" s="4" t="s">
        <v>316</v>
      </c>
    </row>
    <row r="12" spans="1:8" x14ac:dyDescent="0.3">
      <c r="A12" s="6"/>
    </row>
    <row r="13" spans="1:8" x14ac:dyDescent="0.3">
      <c r="A13" t="s">
        <v>303</v>
      </c>
      <c r="B13" t="s">
        <v>178</v>
      </c>
      <c r="C13" t="s">
        <v>308</v>
      </c>
      <c r="D13" t="s">
        <v>309</v>
      </c>
      <c r="E13" t="s">
        <v>310</v>
      </c>
      <c r="G13" s="37" t="s">
        <v>303</v>
      </c>
      <c r="H13" s="37" t="s">
        <v>307</v>
      </c>
    </row>
    <row r="14" spans="1:8" x14ac:dyDescent="0.3">
      <c r="A14" t="s">
        <v>304</v>
      </c>
      <c r="B14">
        <v>12345</v>
      </c>
      <c r="C14">
        <v>23456</v>
      </c>
      <c r="D14">
        <v>34567</v>
      </c>
      <c r="E14">
        <v>45678</v>
      </c>
      <c r="G14" s="37" t="s">
        <v>308</v>
      </c>
      <c r="H14" s="37" t="str">
        <f>HLOOKUP(G14,B13:E17,5,FALSE)</f>
        <v>$2,087</v>
      </c>
    </row>
    <row r="15" spans="1:8" x14ac:dyDescent="0.3">
      <c r="A15" t="s">
        <v>305</v>
      </c>
      <c r="B15" s="2">
        <v>44902</v>
      </c>
      <c r="C15" s="2">
        <v>5678</v>
      </c>
      <c r="D15" s="2">
        <v>44872</v>
      </c>
      <c r="E15" s="2">
        <v>44872</v>
      </c>
    </row>
    <row r="16" spans="1:8" x14ac:dyDescent="0.3">
      <c r="A16" t="s">
        <v>317</v>
      </c>
      <c r="B16" s="42">
        <v>3456</v>
      </c>
      <c r="C16" s="42">
        <v>9087</v>
      </c>
      <c r="D16" s="42">
        <v>7098</v>
      </c>
      <c r="E16" s="42">
        <v>7098</v>
      </c>
    </row>
    <row r="17" spans="1:9" x14ac:dyDescent="0.3">
      <c r="A17" t="s">
        <v>307</v>
      </c>
      <c r="B17" t="s">
        <v>311</v>
      </c>
      <c r="C17" t="s">
        <v>312</v>
      </c>
      <c r="D17" t="s">
        <v>313</v>
      </c>
      <c r="E17" t="s">
        <v>314</v>
      </c>
    </row>
    <row r="19" spans="1:9" x14ac:dyDescent="0.3">
      <c r="A19" s="4" t="s">
        <v>318</v>
      </c>
    </row>
    <row r="20" spans="1:9" x14ac:dyDescent="0.3">
      <c r="G20" s="4" t="s">
        <v>329</v>
      </c>
    </row>
    <row r="21" spans="1:9" x14ac:dyDescent="0.3">
      <c r="A21" t="s">
        <v>304</v>
      </c>
      <c r="B21" t="s">
        <v>305</v>
      </c>
      <c r="C21" t="s">
        <v>317</v>
      </c>
      <c r="D21" t="s">
        <v>307</v>
      </c>
      <c r="E21" t="s">
        <v>303</v>
      </c>
      <c r="G21" s="37" t="s">
        <v>303</v>
      </c>
      <c r="H21" s="37" t="s">
        <v>327</v>
      </c>
    </row>
    <row r="22" spans="1:9" x14ac:dyDescent="0.3">
      <c r="G22" s="37"/>
      <c r="H22" s="37"/>
    </row>
    <row r="23" spans="1:9" x14ac:dyDescent="0.3">
      <c r="A23">
        <v>123456</v>
      </c>
      <c r="B23" s="2">
        <v>44902</v>
      </c>
      <c r="C23" t="s">
        <v>319</v>
      </c>
      <c r="D23" t="s">
        <v>323</v>
      </c>
      <c r="E23" t="s">
        <v>178</v>
      </c>
      <c r="G23" s="37" t="s">
        <v>328</v>
      </c>
      <c r="H23" s="37" t="str">
        <f>_xlfn.XLOOKUP(G23,E23:E26,D23:D26,"no value found")</f>
        <v>no value found</v>
      </c>
    </row>
    <row r="24" spans="1:9" x14ac:dyDescent="0.3">
      <c r="A24">
        <v>234567</v>
      </c>
      <c r="B24" s="2">
        <v>5678</v>
      </c>
      <c r="C24" t="s">
        <v>320</v>
      </c>
      <c r="D24" t="s">
        <v>324</v>
      </c>
      <c r="E24" t="s">
        <v>308</v>
      </c>
    </row>
    <row r="25" spans="1:9" x14ac:dyDescent="0.3">
      <c r="A25">
        <v>345678</v>
      </c>
      <c r="B25" s="2">
        <v>44872</v>
      </c>
      <c r="C25" t="s">
        <v>321</v>
      </c>
      <c r="D25" t="s">
        <v>325</v>
      </c>
      <c r="E25" t="s">
        <v>310</v>
      </c>
      <c r="G25" s="4" t="s">
        <v>330</v>
      </c>
    </row>
    <row r="26" spans="1:9" x14ac:dyDescent="0.3">
      <c r="A26">
        <v>456789</v>
      </c>
      <c r="B26" s="2">
        <v>44872</v>
      </c>
      <c r="C26" t="s">
        <v>322</v>
      </c>
      <c r="D26" t="s">
        <v>326</v>
      </c>
      <c r="E26" t="s">
        <v>309</v>
      </c>
      <c r="G26" s="37" t="s">
        <v>303</v>
      </c>
      <c r="H26" s="37" t="s">
        <v>331</v>
      </c>
      <c r="I26" s="37" t="s">
        <v>327</v>
      </c>
    </row>
    <row r="27" spans="1:9" x14ac:dyDescent="0.3">
      <c r="G27" s="37" t="s">
        <v>309</v>
      </c>
      <c r="H27" s="37" t="str" cm="1">
        <f t="array" ref="H27:I27">_xlfn.XLOOKUP(G27,E23:E26,C23:D26,"NO VALUE FOUND")</f>
        <v>$6,700</v>
      </c>
      <c r="I27" s="37" t="str">
        <v>$4,200</v>
      </c>
    </row>
    <row r="29" spans="1:9" x14ac:dyDescent="0.3">
      <c r="G29" s="4" t="s">
        <v>348</v>
      </c>
    </row>
    <row r="30" spans="1:9" x14ac:dyDescent="0.3">
      <c r="A30" t="s">
        <v>332</v>
      </c>
      <c r="B30" t="s">
        <v>304</v>
      </c>
      <c r="C30" t="s">
        <v>305</v>
      </c>
      <c r="D30" t="s">
        <v>331</v>
      </c>
      <c r="E30" t="s">
        <v>307</v>
      </c>
      <c r="G30" s="37" t="s">
        <v>349</v>
      </c>
      <c r="H30" s="37" t="s">
        <v>331</v>
      </c>
    </row>
    <row r="31" spans="1:9" x14ac:dyDescent="0.3">
      <c r="A31" t="s">
        <v>333</v>
      </c>
      <c r="B31">
        <v>1234</v>
      </c>
      <c r="C31" s="2">
        <v>46363</v>
      </c>
      <c r="D31" t="s">
        <v>334</v>
      </c>
      <c r="E31" t="s">
        <v>335</v>
      </c>
      <c r="G31" s="37" t="s">
        <v>365</v>
      </c>
      <c r="H31" s="37" t="str">
        <f>_xlfn.XLOOKUP(G31&amp;"*",A31:A35,D31:D35,"NO VALUE FOUND",2)</f>
        <v>$4,890</v>
      </c>
    </row>
    <row r="32" spans="1:9" x14ac:dyDescent="0.3">
      <c r="A32" t="s">
        <v>336</v>
      </c>
      <c r="B32">
        <v>2345</v>
      </c>
      <c r="C32" s="2">
        <v>46272</v>
      </c>
      <c r="D32" t="s">
        <v>340</v>
      </c>
      <c r="E32" t="s">
        <v>344</v>
      </c>
    </row>
    <row r="33" spans="1:9" x14ac:dyDescent="0.3">
      <c r="A33" t="s">
        <v>337</v>
      </c>
      <c r="B33">
        <v>4567</v>
      </c>
      <c r="C33" s="2">
        <v>46333</v>
      </c>
      <c r="D33" t="s">
        <v>341</v>
      </c>
      <c r="E33" t="s">
        <v>345</v>
      </c>
    </row>
    <row r="34" spans="1:9" x14ac:dyDescent="0.3">
      <c r="A34" t="s">
        <v>338</v>
      </c>
      <c r="B34">
        <v>6789</v>
      </c>
      <c r="C34" s="2">
        <v>46180</v>
      </c>
      <c r="D34" t="s">
        <v>342</v>
      </c>
      <c r="E34" t="s">
        <v>346</v>
      </c>
    </row>
    <row r="35" spans="1:9" x14ac:dyDescent="0.3">
      <c r="A35" t="s">
        <v>339</v>
      </c>
      <c r="B35">
        <v>987</v>
      </c>
      <c r="C35" s="2">
        <v>46088</v>
      </c>
      <c r="D35" s="43" t="s">
        <v>343</v>
      </c>
      <c r="E35" t="s">
        <v>347</v>
      </c>
      <c r="G35" s="4" t="s">
        <v>356</v>
      </c>
    </row>
    <row r="37" spans="1:9" x14ac:dyDescent="0.3">
      <c r="B37">
        <v>2019</v>
      </c>
      <c r="C37">
        <v>2020</v>
      </c>
      <c r="D37">
        <v>2021</v>
      </c>
      <c r="E37">
        <v>2022</v>
      </c>
      <c r="G37" s="37" t="s">
        <v>315</v>
      </c>
      <c r="H37" s="37" t="s">
        <v>355</v>
      </c>
      <c r="I37" s="37" t="s">
        <v>307</v>
      </c>
    </row>
    <row r="38" spans="1:9" x14ac:dyDescent="0.3">
      <c r="A38" t="s">
        <v>350</v>
      </c>
      <c r="B38" t="s">
        <v>334</v>
      </c>
      <c r="C38" t="s">
        <v>335</v>
      </c>
      <c r="D38" t="s">
        <v>323</v>
      </c>
      <c r="E38" t="s">
        <v>311</v>
      </c>
      <c r="G38" s="37" t="s">
        <v>351</v>
      </c>
      <c r="H38" s="37">
        <v>2020</v>
      </c>
      <c r="I38" s="37" t="str" cm="1">
        <f t="array" ref="I38">_xlfn.XLOOKUP(G38,A38:A42,_xlfn.XLOOKUP(H38,B37:E37,B38:E42,"NO VALUE"))</f>
        <v>$1,236</v>
      </c>
    </row>
    <row r="39" spans="1:9" x14ac:dyDescent="0.3">
      <c r="A39" t="s">
        <v>351</v>
      </c>
      <c r="B39" t="s">
        <v>340</v>
      </c>
      <c r="C39" t="s">
        <v>344</v>
      </c>
      <c r="D39" t="s">
        <v>324</v>
      </c>
      <c r="E39" t="s">
        <v>312</v>
      </c>
      <c r="G39" t="s">
        <v>12</v>
      </c>
    </row>
    <row r="40" spans="1:9" x14ac:dyDescent="0.3">
      <c r="A40" t="s">
        <v>198</v>
      </c>
      <c r="B40" t="s">
        <v>341</v>
      </c>
      <c r="C40" t="s">
        <v>345</v>
      </c>
      <c r="D40" t="s">
        <v>325</v>
      </c>
      <c r="E40" t="s">
        <v>313</v>
      </c>
    </row>
    <row r="41" spans="1:9" x14ac:dyDescent="0.3">
      <c r="A41" t="s">
        <v>352</v>
      </c>
      <c r="B41" t="s">
        <v>342</v>
      </c>
      <c r="C41" t="s">
        <v>346</v>
      </c>
      <c r="D41" t="s">
        <v>326</v>
      </c>
      <c r="E41" t="s">
        <v>314</v>
      </c>
    </row>
    <row r="42" spans="1:9" x14ac:dyDescent="0.3">
      <c r="A42" t="s">
        <v>353</v>
      </c>
      <c r="B42" s="43" t="s">
        <v>343</v>
      </c>
      <c r="C42" t="s">
        <v>347</v>
      </c>
      <c r="D42" t="s">
        <v>354</v>
      </c>
      <c r="E42" t="s">
        <v>340</v>
      </c>
    </row>
    <row r="44" spans="1:9" x14ac:dyDescent="0.3">
      <c r="A44">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70F6A-398C-42D8-93D0-638081DEA17B}">
  <sheetPr codeName="Sheet8"/>
  <dimension ref="A1:G27"/>
  <sheetViews>
    <sheetView topLeftCell="A11" zoomScale="88" workbookViewId="0">
      <selection activeCell="F30" sqref="F30"/>
    </sheetView>
  </sheetViews>
  <sheetFormatPr defaultRowHeight="14.4" x14ac:dyDescent="0.3"/>
  <cols>
    <col min="1" max="1" width="17.21875" customWidth="1"/>
    <col min="2" max="2" width="18.6640625" customWidth="1"/>
    <col min="3" max="3" width="21.77734375" customWidth="1"/>
    <col min="4" max="4" width="25.6640625" customWidth="1"/>
    <col min="5" max="5" width="22" customWidth="1"/>
    <col min="6" max="6" width="23.33203125" customWidth="1"/>
  </cols>
  <sheetData>
    <row r="1" spans="1:7" x14ac:dyDescent="0.3">
      <c r="C1" s="4" t="s">
        <v>359</v>
      </c>
      <c r="G1" s="4"/>
    </row>
    <row r="3" spans="1:7" x14ac:dyDescent="0.3">
      <c r="A3" t="s">
        <v>136</v>
      </c>
      <c r="B3" t="s">
        <v>357</v>
      </c>
      <c r="C3" t="s">
        <v>358</v>
      </c>
      <c r="D3" t="s">
        <v>136</v>
      </c>
      <c r="E3" t="s">
        <v>358</v>
      </c>
    </row>
    <row r="4" spans="1:7" x14ac:dyDescent="0.3">
      <c r="A4">
        <v>2345</v>
      </c>
      <c r="B4">
        <v>500</v>
      </c>
      <c r="C4">
        <v>15</v>
      </c>
      <c r="D4">
        <v>9823</v>
      </c>
      <c r="E4">
        <f>VLOOKUP(D4,A4:C8,3,FALSE)</f>
        <v>13</v>
      </c>
    </row>
    <row r="5" spans="1:7" x14ac:dyDescent="0.3">
      <c r="A5">
        <v>5457</v>
      </c>
      <c r="B5">
        <v>234</v>
      </c>
      <c r="C5">
        <v>28</v>
      </c>
    </row>
    <row r="6" spans="1:7" x14ac:dyDescent="0.3">
      <c r="A6">
        <v>9823</v>
      </c>
      <c r="B6">
        <v>155</v>
      </c>
      <c r="C6">
        <v>13</v>
      </c>
    </row>
    <row r="7" spans="1:7" x14ac:dyDescent="0.3">
      <c r="A7">
        <v>1233</v>
      </c>
      <c r="B7">
        <v>122</v>
      </c>
      <c r="C7">
        <v>12</v>
      </c>
    </row>
    <row r="8" spans="1:7" x14ac:dyDescent="0.3">
      <c r="A8">
        <v>2344</v>
      </c>
      <c r="B8">
        <v>166</v>
      </c>
      <c r="C8">
        <v>24</v>
      </c>
    </row>
    <row r="10" spans="1:7" x14ac:dyDescent="0.3">
      <c r="C10" s="4" t="s">
        <v>360</v>
      </c>
    </row>
    <row r="12" spans="1:7" x14ac:dyDescent="0.3">
      <c r="A12" t="s">
        <v>361</v>
      </c>
      <c r="B12" t="s">
        <v>139</v>
      </c>
      <c r="C12" t="s">
        <v>361</v>
      </c>
      <c r="D12" t="s">
        <v>358</v>
      </c>
    </row>
    <row r="13" spans="1:7" x14ac:dyDescent="0.3">
      <c r="A13">
        <v>0</v>
      </c>
      <c r="B13">
        <v>20</v>
      </c>
      <c r="C13">
        <v>50</v>
      </c>
      <c r="D13">
        <f>VLOOKUP(C13,A13:B17,2,TRUE)</f>
        <v>16</v>
      </c>
    </row>
    <row r="14" spans="1:7" x14ac:dyDescent="0.3">
      <c r="A14">
        <v>10</v>
      </c>
      <c r="B14">
        <v>18</v>
      </c>
    </row>
    <row r="15" spans="1:7" x14ac:dyDescent="0.3">
      <c r="A15">
        <v>50</v>
      </c>
      <c r="B15">
        <v>16</v>
      </c>
    </row>
    <row r="16" spans="1:7" x14ac:dyDescent="0.3">
      <c r="A16">
        <v>100</v>
      </c>
      <c r="B16">
        <v>13</v>
      </c>
    </row>
    <row r="17" spans="1:4" x14ac:dyDescent="0.3">
      <c r="A17">
        <v>200</v>
      </c>
      <c r="B17">
        <v>12</v>
      </c>
    </row>
    <row r="18" spans="1:4" x14ac:dyDescent="0.3">
      <c r="D18" s="4" t="s">
        <v>362</v>
      </c>
    </row>
    <row r="19" spans="1:4" x14ac:dyDescent="0.3">
      <c r="A19" t="s">
        <v>363</v>
      </c>
      <c r="B19" t="s">
        <v>364</v>
      </c>
      <c r="C19" t="s">
        <v>292</v>
      </c>
      <c r="D19" t="s">
        <v>293</v>
      </c>
    </row>
    <row r="20" spans="1:4" x14ac:dyDescent="0.3">
      <c r="A20">
        <v>123456</v>
      </c>
      <c r="B20">
        <v>6783456</v>
      </c>
    </row>
    <row r="21" spans="1:4" x14ac:dyDescent="0.3">
      <c r="A21">
        <v>234567</v>
      </c>
      <c r="B21">
        <v>2345678</v>
      </c>
    </row>
    <row r="22" spans="1:4" x14ac:dyDescent="0.3">
      <c r="A22">
        <v>345678</v>
      </c>
      <c r="B22">
        <v>3456789</v>
      </c>
    </row>
    <row r="23" spans="1:4" x14ac:dyDescent="0.3">
      <c r="A23">
        <v>456789</v>
      </c>
      <c r="B23">
        <v>456789</v>
      </c>
    </row>
    <row r="24" spans="1:4" x14ac:dyDescent="0.3">
      <c r="A24">
        <v>567900</v>
      </c>
      <c r="B24">
        <v>876543</v>
      </c>
    </row>
    <row r="25" spans="1:4" x14ac:dyDescent="0.3">
      <c r="A25">
        <v>679011</v>
      </c>
      <c r="B25">
        <v>1236789</v>
      </c>
    </row>
    <row r="26" spans="1:4" x14ac:dyDescent="0.3">
      <c r="A26">
        <v>790122</v>
      </c>
      <c r="B26">
        <v>76589432</v>
      </c>
    </row>
    <row r="27" spans="1:4" x14ac:dyDescent="0.3">
      <c r="A27">
        <v>901233</v>
      </c>
      <c r="B27">
        <v>4562341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BBF3F-3AED-4405-8189-9974A4861D56}">
  <sheetPr codeName="Sheet9"/>
  <dimension ref="A1:K75"/>
  <sheetViews>
    <sheetView zoomScaleNormal="100" workbookViewId="0">
      <selection activeCell="H10" sqref="H10"/>
    </sheetView>
  </sheetViews>
  <sheetFormatPr defaultRowHeight="14.4" x14ac:dyDescent="0.3"/>
  <cols>
    <col min="1" max="1" width="52" customWidth="1"/>
    <col min="2" max="2" width="9.77734375" customWidth="1"/>
    <col min="3" max="3" width="7.5546875" customWidth="1"/>
    <col min="4" max="4" width="8.5546875" customWidth="1"/>
    <col min="5" max="5" width="5.88671875" customWidth="1"/>
    <col min="7" max="7" width="48.109375" customWidth="1"/>
    <col min="8" max="8" width="12.77734375" customWidth="1"/>
    <col min="9" max="9" width="2" customWidth="1"/>
    <col min="11" max="11" width="2" customWidth="1"/>
  </cols>
  <sheetData>
    <row r="1" spans="1:8" x14ac:dyDescent="0.3">
      <c r="A1" s="1" t="s">
        <v>371</v>
      </c>
      <c r="B1" s="1"/>
      <c r="C1" s="1"/>
      <c r="D1" s="1"/>
      <c r="E1" s="1"/>
      <c r="G1" s="1" t="s">
        <v>373</v>
      </c>
    </row>
    <row r="2" spans="1:8" x14ac:dyDescent="0.3">
      <c r="G2" t="s">
        <v>304</v>
      </c>
      <c r="H2" t="s">
        <v>374</v>
      </c>
    </row>
    <row r="3" spans="1:8" x14ac:dyDescent="0.3">
      <c r="A3" t="s">
        <v>366</v>
      </c>
      <c r="G3">
        <v>1234567</v>
      </c>
      <c r="H3" t="s">
        <v>375</v>
      </c>
    </row>
    <row r="4" spans="1:8" x14ac:dyDescent="0.3">
      <c r="A4" t="s">
        <v>367</v>
      </c>
      <c r="G4">
        <v>2345678</v>
      </c>
      <c r="H4" t="s">
        <v>378</v>
      </c>
    </row>
    <row r="5" spans="1:8" x14ac:dyDescent="0.3">
      <c r="A5" t="s">
        <v>368</v>
      </c>
      <c r="G5">
        <v>3456789</v>
      </c>
      <c r="H5" t="s">
        <v>376</v>
      </c>
    </row>
    <row r="6" spans="1:8" x14ac:dyDescent="0.3">
      <c r="A6" t="s">
        <v>369</v>
      </c>
      <c r="G6">
        <v>4567890</v>
      </c>
      <c r="H6" t="s">
        <v>377</v>
      </c>
    </row>
    <row r="7" spans="1:8" x14ac:dyDescent="0.3">
      <c r="A7" t="s">
        <v>370</v>
      </c>
    </row>
    <row r="8" spans="1:8" x14ac:dyDescent="0.3">
      <c r="G8" t="s">
        <v>112</v>
      </c>
    </row>
    <row r="9" spans="1:8" x14ac:dyDescent="0.3">
      <c r="A9" t="s">
        <v>112</v>
      </c>
      <c r="B9" t="str">
        <f>INDEX(A3:A7,4,1)</f>
        <v>zhogo</v>
      </c>
      <c r="G9" t="s">
        <v>374</v>
      </c>
      <c r="H9" t="s">
        <v>376</v>
      </c>
    </row>
    <row r="10" spans="1:8" x14ac:dyDescent="0.3">
      <c r="H10">
        <f>INDEX(G3:G6,MATCH(H9,H3:H6,0))</f>
        <v>3456789</v>
      </c>
    </row>
    <row r="11" spans="1:8" x14ac:dyDescent="0.3">
      <c r="A11" s="1" t="s">
        <v>372</v>
      </c>
    </row>
    <row r="14" spans="1:8" x14ac:dyDescent="0.3">
      <c r="A14" t="s">
        <v>178</v>
      </c>
    </row>
    <row r="15" spans="1:8" x14ac:dyDescent="0.3">
      <c r="A15" t="s">
        <v>380</v>
      </c>
    </row>
    <row r="16" spans="1:8" x14ac:dyDescent="0.3">
      <c r="A16" t="s">
        <v>376</v>
      </c>
    </row>
    <row r="17" spans="1:9" x14ac:dyDescent="0.3">
      <c r="A17" t="s">
        <v>379</v>
      </c>
    </row>
    <row r="19" spans="1:9" x14ac:dyDescent="0.3">
      <c r="A19" t="s">
        <v>112</v>
      </c>
      <c r="B19">
        <f>MATCH(A15,A14:A17,0)</f>
        <v>2</v>
      </c>
    </row>
    <row r="22" spans="1:9" x14ac:dyDescent="0.3">
      <c r="A22" s="4" t="s">
        <v>381</v>
      </c>
    </row>
    <row r="24" spans="1:9" x14ac:dyDescent="0.3">
      <c r="A24" s="38" t="s">
        <v>374</v>
      </c>
      <c r="B24" s="38" t="s">
        <v>382</v>
      </c>
      <c r="C24" s="37"/>
      <c r="D24" s="38" t="s">
        <v>374</v>
      </c>
      <c r="E24" s="38" t="s">
        <v>382</v>
      </c>
    </row>
    <row r="25" spans="1:9" x14ac:dyDescent="0.3">
      <c r="A25" s="37" t="s">
        <v>383</v>
      </c>
      <c r="B25" s="37">
        <v>3</v>
      </c>
      <c r="C25" s="37"/>
      <c r="D25" s="37" t="str" cm="1">
        <f t="array" ref="D25:E30">_xlfn._xlws.SORT(A24:B29,2,1,FALSE)</f>
        <v>SRINI</v>
      </c>
      <c r="E25" s="37">
        <v>1</v>
      </c>
    </row>
    <row r="26" spans="1:9" x14ac:dyDescent="0.3">
      <c r="A26" s="37" t="s">
        <v>198</v>
      </c>
      <c r="B26" s="37">
        <v>5</v>
      </c>
      <c r="C26" s="37"/>
      <c r="D26" s="37" t="str">
        <v>DAVID</v>
      </c>
      <c r="E26" s="37">
        <v>2</v>
      </c>
    </row>
    <row r="27" spans="1:9" x14ac:dyDescent="0.3">
      <c r="A27" s="37" t="s">
        <v>384</v>
      </c>
      <c r="B27" s="37">
        <v>2</v>
      </c>
      <c r="C27" s="37"/>
      <c r="D27" s="37" t="str">
        <v>RISHI</v>
      </c>
      <c r="E27" s="37">
        <v>3</v>
      </c>
    </row>
    <row r="28" spans="1:9" x14ac:dyDescent="0.3">
      <c r="A28" s="37" t="s">
        <v>385</v>
      </c>
      <c r="B28" s="37">
        <v>1</v>
      </c>
      <c r="C28" s="37"/>
      <c r="D28" s="37" t="str">
        <v>JOBI</v>
      </c>
      <c r="E28" s="37">
        <v>4</v>
      </c>
      <c r="H28" t="str" cm="1">
        <f t="array" ref="H28:I32">_xlfn._xlws.SORT(A25:B29,2,-1,FALSE)</f>
        <v>KUMAR</v>
      </c>
      <c r="I28">
        <v>5</v>
      </c>
    </row>
    <row r="29" spans="1:9" x14ac:dyDescent="0.3">
      <c r="A29" s="37" t="s">
        <v>386</v>
      </c>
      <c r="B29" s="37">
        <v>4</v>
      </c>
      <c r="C29" s="37"/>
      <c r="D29" s="37" t="str">
        <v>KUMAR</v>
      </c>
      <c r="E29" s="37">
        <v>5</v>
      </c>
      <c r="H29" t="str">
        <v>JOBI</v>
      </c>
      <c r="I29">
        <v>4</v>
      </c>
    </row>
    <row r="30" spans="1:9" x14ac:dyDescent="0.3">
      <c r="A30" s="37"/>
      <c r="B30" s="37"/>
      <c r="C30" s="37"/>
      <c r="D30" s="37" t="str">
        <v>NAME</v>
      </c>
      <c r="E30" s="37" t="str">
        <v>RANK</v>
      </c>
      <c r="H30" t="str">
        <v>RISHI</v>
      </c>
      <c r="I30">
        <v>3</v>
      </c>
    </row>
    <row r="31" spans="1:9" x14ac:dyDescent="0.3">
      <c r="A31" s="1"/>
      <c r="B31" s="1"/>
      <c r="H31" t="str">
        <v>DAVID</v>
      </c>
      <c r="I31">
        <v>2</v>
      </c>
    </row>
    <row r="32" spans="1:9" x14ac:dyDescent="0.3">
      <c r="A32" s="4" t="s">
        <v>387</v>
      </c>
      <c r="H32" t="str">
        <v>SRINI</v>
      </c>
      <c r="I32">
        <v>1</v>
      </c>
    </row>
    <row r="33" spans="1:11" x14ac:dyDescent="0.3">
      <c r="A33" s="44" t="s">
        <v>388</v>
      </c>
      <c r="B33" s="37"/>
      <c r="C33" s="37"/>
      <c r="D33" s="45" t="s">
        <v>389</v>
      </c>
      <c r="E33" s="37"/>
      <c r="F33" s="37"/>
      <c r="G33" s="37" t="s">
        <v>392</v>
      </c>
      <c r="H33" s="37"/>
    </row>
    <row r="34" spans="1:11" x14ac:dyDescent="0.3">
      <c r="A34" s="38" t="s">
        <v>374</v>
      </c>
      <c r="B34" s="38" t="s">
        <v>391</v>
      </c>
      <c r="C34" s="37"/>
      <c r="D34" s="38" t="s">
        <v>374</v>
      </c>
      <c r="E34" s="38" t="s">
        <v>390</v>
      </c>
      <c r="F34" s="37"/>
      <c r="G34" s="38" t="s">
        <v>374</v>
      </c>
      <c r="H34" s="38" t="s">
        <v>393</v>
      </c>
      <c r="J34" s="1"/>
    </row>
    <row r="35" spans="1:11" x14ac:dyDescent="0.3">
      <c r="A35" s="37"/>
      <c r="B35" s="37"/>
      <c r="C35" s="37"/>
      <c r="D35" s="37"/>
      <c r="E35" s="37"/>
      <c r="F35" s="37"/>
      <c r="G35" s="37"/>
      <c r="H35" s="37"/>
    </row>
    <row r="36" spans="1:11" x14ac:dyDescent="0.3">
      <c r="A36" s="37" t="s">
        <v>383</v>
      </c>
      <c r="B36" s="37">
        <v>3.2</v>
      </c>
      <c r="C36" s="37"/>
      <c r="D36" s="37" t="s">
        <v>383</v>
      </c>
      <c r="E36" s="37">
        <v>9.1199999999999992</v>
      </c>
      <c r="F36" s="37"/>
      <c r="G36" s="37" t="s">
        <v>383</v>
      </c>
      <c r="H36" s="37">
        <v>9</v>
      </c>
    </row>
    <row r="37" spans="1:11" x14ac:dyDescent="0.3">
      <c r="A37" s="37" t="s">
        <v>198</v>
      </c>
      <c r="B37" s="37">
        <v>2.0099999999999998</v>
      </c>
      <c r="C37" s="37"/>
      <c r="D37" s="37" t="s">
        <v>198</v>
      </c>
      <c r="E37" s="37">
        <v>20.2</v>
      </c>
      <c r="F37" s="37"/>
      <c r="G37" s="37" t="s">
        <v>198</v>
      </c>
      <c r="H37" s="37">
        <v>10.93</v>
      </c>
    </row>
    <row r="38" spans="1:11" x14ac:dyDescent="0.3">
      <c r="A38" s="37" t="s">
        <v>384</v>
      </c>
      <c r="B38" s="37">
        <v>5.25</v>
      </c>
      <c r="C38" s="37"/>
      <c r="D38" s="37" t="s">
        <v>384</v>
      </c>
      <c r="E38" s="37">
        <v>15.3</v>
      </c>
      <c r="F38" s="37"/>
      <c r="G38" s="37" t="s">
        <v>384</v>
      </c>
      <c r="H38" s="37">
        <v>10.19</v>
      </c>
    </row>
    <row r="39" spans="1:11" x14ac:dyDescent="0.3">
      <c r="A39" s="37" t="s">
        <v>385</v>
      </c>
      <c r="B39" s="37">
        <v>4.2</v>
      </c>
      <c r="C39" s="37"/>
      <c r="D39" s="37" t="s">
        <v>385</v>
      </c>
      <c r="E39" s="37">
        <v>16.7</v>
      </c>
      <c r="F39" s="37"/>
      <c r="G39" s="37" t="s">
        <v>385</v>
      </c>
      <c r="H39" s="37">
        <v>3.34</v>
      </c>
    </row>
    <row r="40" spans="1:11" x14ac:dyDescent="0.3">
      <c r="A40" s="37" t="s">
        <v>386</v>
      </c>
      <c r="B40" s="37">
        <v>1.3</v>
      </c>
      <c r="C40" s="37"/>
      <c r="D40" s="37" t="s">
        <v>386</v>
      </c>
      <c r="E40" s="37">
        <v>17.5</v>
      </c>
      <c r="F40" s="37"/>
      <c r="G40" s="37" t="s">
        <v>386</v>
      </c>
      <c r="H40" s="37">
        <v>2.34</v>
      </c>
    </row>
    <row r="41" spans="1:11" x14ac:dyDescent="0.3">
      <c r="A41" s="37"/>
      <c r="B41" s="37"/>
      <c r="C41" s="37"/>
      <c r="D41" s="37"/>
      <c r="E41" s="37"/>
      <c r="F41" s="37"/>
      <c r="G41" s="37"/>
      <c r="H41" s="37"/>
    </row>
    <row r="42" spans="1:11" x14ac:dyDescent="0.3">
      <c r="A42" s="37"/>
      <c r="B42" s="37"/>
      <c r="C42" s="37"/>
      <c r="D42" s="37"/>
      <c r="E42" s="37"/>
      <c r="F42" s="37"/>
      <c r="G42" s="37"/>
      <c r="H42" s="37"/>
    </row>
    <row r="43" spans="1:11" x14ac:dyDescent="0.3">
      <c r="A43" s="38" t="s">
        <v>382</v>
      </c>
      <c r="B43" s="38" t="s">
        <v>374</v>
      </c>
      <c r="C43" s="37"/>
      <c r="D43" s="38" t="s">
        <v>382</v>
      </c>
      <c r="E43" s="38" t="s">
        <v>374</v>
      </c>
      <c r="F43" s="37"/>
      <c r="G43" s="38" t="s">
        <v>382</v>
      </c>
      <c r="H43" s="38" t="s">
        <v>374</v>
      </c>
      <c r="K43" t="s">
        <v>394</v>
      </c>
    </row>
    <row r="44" spans="1:11" x14ac:dyDescent="0.3">
      <c r="A44" s="37"/>
      <c r="B44" s="37"/>
      <c r="C44" s="37"/>
      <c r="D44" s="37"/>
      <c r="E44" s="37"/>
      <c r="F44" s="37"/>
      <c r="G44" s="37"/>
      <c r="H44" s="37"/>
    </row>
    <row r="45" spans="1:11" x14ac:dyDescent="0.3">
      <c r="A45" s="37" t="str" cm="1">
        <f t="array" ref="A45:B49">_xlfn.SORTBY(A36:B40,B36:B40,-1)</f>
        <v>DAVID</v>
      </c>
      <c r="B45" s="37">
        <v>5.25</v>
      </c>
      <c r="C45" s="37"/>
      <c r="D45" s="37" t="str" cm="1">
        <f t="array" ref="D45:E49">_xlfn.SORTBY(D36:E40,E36:E40,-1)</f>
        <v>KUMAR</v>
      </c>
      <c r="E45" s="37">
        <v>20.2</v>
      </c>
      <c r="F45" s="37"/>
      <c r="G45" s="37" t="str" cm="1">
        <f t="array" ref="G45:H49">_xlfn.SORTBY(G36:H40,H36:H40,-1)</f>
        <v>KUMAR</v>
      </c>
      <c r="H45" s="37">
        <v>10.93</v>
      </c>
    </row>
    <row r="46" spans="1:11" x14ac:dyDescent="0.3">
      <c r="A46" s="37" t="str">
        <v>SRINI</v>
      </c>
      <c r="B46" s="37">
        <v>4.2</v>
      </c>
      <c r="C46" s="37"/>
      <c r="D46" s="37" t="str">
        <v>JOBI</v>
      </c>
      <c r="E46" s="37">
        <v>17.5</v>
      </c>
      <c r="F46" s="37"/>
      <c r="G46" s="37" t="str">
        <v>DAVID</v>
      </c>
      <c r="H46" s="37">
        <v>10.19</v>
      </c>
    </row>
    <row r="47" spans="1:11" x14ac:dyDescent="0.3">
      <c r="A47" s="37" t="str">
        <v>RISHI</v>
      </c>
      <c r="B47" s="37">
        <v>3.2</v>
      </c>
      <c r="C47" s="37"/>
      <c r="D47" s="37" t="str">
        <v>SRINI</v>
      </c>
      <c r="E47" s="37">
        <v>16.7</v>
      </c>
      <c r="F47" s="37"/>
      <c r="G47" s="37" t="str">
        <v>RISHI</v>
      </c>
      <c r="H47" s="37">
        <v>9</v>
      </c>
    </row>
    <row r="48" spans="1:11" x14ac:dyDescent="0.3">
      <c r="A48" s="37" t="str">
        <v>KUMAR</v>
      </c>
      <c r="B48" s="37">
        <v>2.0099999999999998</v>
      </c>
      <c r="C48" s="37"/>
      <c r="D48" s="37" t="str">
        <v>DAVID</v>
      </c>
      <c r="E48" s="37">
        <v>15.3</v>
      </c>
      <c r="F48" s="37"/>
      <c r="G48" s="37" t="str">
        <v>SRINI</v>
      </c>
      <c r="H48" s="37">
        <v>3.34</v>
      </c>
    </row>
    <row r="49" spans="1:8" x14ac:dyDescent="0.3">
      <c r="A49" s="37" t="str">
        <v>JOBI</v>
      </c>
      <c r="B49" s="37">
        <v>1.3</v>
      </c>
      <c r="C49" s="37"/>
      <c r="D49" s="37" t="str">
        <v>RISHI</v>
      </c>
      <c r="E49" s="37">
        <v>9.1199999999999992</v>
      </c>
      <c r="F49" s="37"/>
      <c r="G49" s="37" t="str">
        <v>JOBI</v>
      </c>
      <c r="H49" s="37">
        <v>2.34</v>
      </c>
    </row>
    <row r="52" spans="1:8" x14ac:dyDescent="0.3">
      <c r="A52" s="4" t="s">
        <v>395</v>
      </c>
    </row>
    <row r="54" spans="1:8" x14ac:dyDescent="0.3">
      <c r="A54" s="37" t="s">
        <v>396</v>
      </c>
      <c r="B54" s="37" t="s">
        <v>397</v>
      </c>
      <c r="C54" s="37" t="s">
        <v>374</v>
      </c>
      <c r="D54" s="37" t="s">
        <v>398</v>
      </c>
    </row>
    <row r="55" spans="1:8" x14ac:dyDescent="0.3">
      <c r="A55" s="37" t="s">
        <v>399</v>
      </c>
      <c r="B55" s="37" t="s">
        <v>403</v>
      </c>
      <c r="C55" s="37" t="s">
        <v>409</v>
      </c>
      <c r="D55" s="37">
        <v>100</v>
      </c>
    </row>
    <row r="56" spans="1:8" x14ac:dyDescent="0.3">
      <c r="A56" s="37" t="s">
        <v>400</v>
      </c>
      <c r="B56" s="37" t="s">
        <v>404</v>
      </c>
      <c r="C56" s="37" t="s">
        <v>410</v>
      </c>
      <c r="D56" s="37">
        <v>98</v>
      </c>
    </row>
    <row r="57" spans="1:8" x14ac:dyDescent="0.3">
      <c r="A57" s="37" t="s">
        <v>401</v>
      </c>
      <c r="B57" s="37" t="s">
        <v>405</v>
      </c>
      <c r="C57" s="37" t="s">
        <v>411</v>
      </c>
      <c r="D57" s="37">
        <v>100</v>
      </c>
    </row>
    <row r="58" spans="1:8" x14ac:dyDescent="0.3">
      <c r="A58" s="37" t="s">
        <v>402</v>
      </c>
      <c r="B58" s="37" t="s">
        <v>406</v>
      </c>
      <c r="C58" s="37" t="s">
        <v>412</v>
      </c>
      <c r="D58" s="37">
        <v>922</v>
      </c>
    </row>
    <row r="59" spans="1:8" x14ac:dyDescent="0.3">
      <c r="A59" s="37" t="s">
        <v>399</v>
      </c>
      <c r="B59" s="37" t="s">
        <v>404</v>
      </c>
      <c r="C59" s="37" t="s">
        <v>379</v>
      </c>
      <c r="D59" s="37">
        <v>91</v>
      </c>
    </row>
    <row r="60" spans="1:8" x14ac:dyDescent="0.3">
      <c r="A60" s="37" t="s">
        <v>402</v>
      </c>
      <c r="B60" s="37" t="s">
        <v>405</v>
      </c>
      <c r="C60" s="37" t="s">
        <v>413</v>
      </c>
      <c r="D60" s="37">
        <v>93</v>
      </c>
    </row>
    <row r="61" spans="1:8" x14ac:dyDescent="0.3">
      <c r="A61" s="37" t="s">
        <v>400</v>
      </c>
      <c r="B61" s="37" t="s">
        <v>403</v>
      </c>
      <c r="C61" s="37" t="s">
        <v>414</v>
      </c>
      <c r="D61" s="37">
        <v>94</v>
      </c>
    </row>
    <row r="62" spans="1:8" x14ac:dyDescent="0.3">
      <c r="A62" s="37" t="s">
        <v>399</v>
      </c>
      <c r="B62" s="37" t="s">
        <v>407</v>
      </c>
      <c r="C62" s="37" t="s">
        <v>415</v>
      </c>
      <c r="D62" s="37">
        <v>100</v>
      </c>
    </row>
    <row r="63" spans="1:8" x14ac:dyDescent="0.3">
      <c r="A63" s="37" t="s">
        <v>402</v>
      </c>
      <c r="B63" s="37" t="s">
        <v>408</v>
      </c>
      <c r="C63" s="37" t="s">
        <v>416</v>
      </c>
      <c r="D63" s="37">
        <v>98</v>
      </c>
    </row>
    <row r="66" spans="1:4" x14ac:dyDescent="0.3">
      <c r="A66" s="37" t="s">
        <v>396</v>
      </c>
      <c r="B66" s="37" t="s">
        <v>417</v>
      </c>
      <c r="C66" s="37" t="s">
        <v>374</v>
      </c>
      <c r="D66" s="37" t="s">
        <v>398</v>
      </c>
    </row>
    <row r="67" spans="1:4" x14ac:dyDescent="0.3">
      <c r="A67" s="37" t="str" cm="1">
        <f t="array" ref="A67:D75">_xlfn.SORTBY(A55:D63,A55:A63,1,B55:B63,1)</f>
        <v>A</v>
      </c>
      <c r="B67" s="37" t="str">
        <v>BRAZIL</v>
      </c>
      <c r="C67" s="37" t="str">
        <v>SIVA</v>
      </c>
      <c r="D67" s="37">
        <v>100</v>
      </c>
    </row>
    <row r="68" spans="1:4" x14ac:dyDescent="0.3">
      <c r="A68" s="37" t="str">
        <v>A</v>
      </c>
      <c r="B68" s="37" t="str">
        <v>CANADA</v>
      </c>
      <c r="C68" s="37" t="str">
        <v>ARUN</v>
      </c>
      <c r="D68" s="37">
        <v>91</v>
      </c>
    </row>
    <row r="69" spans="1:4" x14ac:dyDescent="0.3">
      <c r="A69" s="37" t="str">
        <v>A</v>
      </c>
      <c r="B69" s="37" t="str">
        <v>USA</v>
      </c>
      <c r="C69" s="37" t="str">
        <v>JHON</v>
      </c>
      <c r="D69" s="37">
        <v>100</v>
      </c>
    </row>
    <row r="70" spans="1:4" x14ac:dyDescent="0.3">
      <c r="A70" s="37" t="str">
        <v>B</v>
      </c>
      <c r="B70" s="37" t="str">
        <v>ISRALE</v>
      </c>
      <c r="C70" s="37" t="str">
        <v>ALIES</v>
      </c>
      <c r="D70" s="37">
        <v>100</v>
      </c>
    </row>
    <row r="71" spans="1:4" x14ac:dyDescent="0.3">
      <c r="A71" s="37" t="str">
        <v>C</v>
      </c>
      <c r="B71" s="37" t="str">
        <v>ISRALE</v>
      </c>
      <c r="C71" s="37" t="str">
        <v>RAJESH</v>
      </c>
      <c r="D71" s="37">
        <v>93</v>
      </c>
    </row>
    <row r="72" spans="1:4" x14ac:dyDescent="0.3">
      <c r="A72" s="37" t="str">
        <v>C</v>
      </c>
      <c r="B72" s="37" t="str">
        <v>NIGERIA</v>
      </c>
      <c r="C72" s="37" t="str">
        <v>ROHAN</v>
      </c>
      <c r="D72" s="37">
        <v>98</v>
      </c>
    </row>
    <row r="73" spans="1:4" x14ac:dyDescent="0.3">
      <c r="A73" s="37" t="str">
        <v>C</v>
      </c>
      <c r="B73" s="37" t="str">
        <v>UK</v>
      </c>
      <c r="C73" s="37" t="str">
        <v>ELSA</v>
      </c>
      <c r="D73" s="37">
        <v>922</v>
      </c>
    </row>
    <row r="74" spans="1:4" x14ac:dyDescent="0.3">
      <c r="A74" s="37" t="str">
        <v>D</v>
      </c>
      <c r="B74" s="37" t="str">
        <v>CANADA</v>
      </c>
      <c r="C74" s="37" t="str">
        <v>ROBERT</v>
      </c>
      <c r="D74" s="37">
        <v>98</v>
      </c>
    </row>
    <row r="75" spans="1:4" x14ac:dyDescent="0.3">
      <c r="A75" s="37" t="str">
        <v>D</v>
      </c>
      <c r="B75" s="37" t="str">
        <v>USA</v>
      </c>
      <c r="C75" s="37" t="str">
        <v>SELVA</v>
      </c>
      <c r="D75" s="37">
        <v>94</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A3840-FFD4-4487-AF3C-3D0AAD89413F}">
  <sheetPr codeName="Sheet10"/>
  <dimension ref="A1:E72"/>
  <sheetViews>
    <sheetView workbookViewId="0">
      <selection activeCell="A79" sqref="A79"/>
    </sheetView>
  </sheetViews>
  <sheetFormatPr defaultRowHeight="14.4" x14ac:dyDescent="0.3"/>
  <cols>
    <col min="1" max="1" width="72.5546875" customWidth="1"/>
    <col min="2" max="2" width="10.109375" customWidth="1"/>
    <col min="3" max="3" width="11.33203125" customWidth="1"/>
  </cols>
  <sheetData>
    <row r="1" spans="1:3" x14ac:dyDescent="0.3">
      <c r="A1" t="s">
        <v>418</v>
      </c>
    </row>
    <row r="3" spans="1:3" x14ac:dyDescent="0.3">
      <c r="A3" s="37" t="s">
        <v>332</v>
      </c>
      <c r="B3" s="37" t="s">
        <v>419</v>
      </c>
      <c r="C3" s="37" t="s">
        <v>420</v>
      </c>
    </row>
    <row r="4" spans="1:3" x14ac:dyDescent="0.3">
      <c r="A4" s="46" t="s">
        <v>421</v>
      </c>
      <c r="B4" s="37" t="s">
        <v>427</v>
      </c>
      <c r="C4" s="47">
        <v>931.78</v>
      </c>
    </row>
    <row r="5" spans="1:3" x14ac:dyDescent="0.3">
      <c r="A5" s="46" t="s">
        <v>422</v>
      </c>
      <c r="B5" s="37" t="s">
        <v>428</v>
      </c>
      <c r="C5" s="47">
        <v>341.28</v>
      </c>
    </row>
    <row r="6" spans="1:3" x14ac:dyDescent="0.3">
      <c r="A6" s="46" t="s">
        <v>423</v>
      </c>
      <c r="B6" s="37" t="s">
        <v>427</v>
      </c>
      <c r="C6" s="47">
        <v>36.020000000000003</v>
      </c>
    </row>
    <row r="7" spans="1:3" x14ac:dyDescent="0.3">
      <c r="A7" s="46" t="s">
        <v>424</v>
      </c>
      <c r="B7" s="37" t="s">
        <v>428</v>
      </c>
      <c r="C7" s="47">
        <v>130.25</v>
      </c>
    </row>
    <row r="8" spans="1:3" x14ac:dyDescent="0.3">
      <c r="A8" s="46" t="s">
        <v>425</v>
      </c>
      <c r="B8" s="37" t="s">
        <v>428</v>
      </c>
      <c r="C8" s="47">
        <v>5.01</v>
      </c>
    </row>
    <row r="9" spans="1:3" x14ac:dyDescent="0.3">
      <c r="A9" s="46" t="s">
        <v>426</v>
      </c>
      <c r="B9" s="37" t="s">
        <v>427</v>
      </c>
      <c r="C9" s="47">
        <v>1.2</v>
      </c>
    </row>
    <row r="11" spans="1:3" x14ac:dyDescent="0.3">
      <c r="A11" s="46" t="s">
        <v>332</v>
      </c>
      <c r="B11" s="37" t="s">
        <v>429</v>
      </c>
      <c r="C11" s="37" t="s">
        <v>430</v>
      </c>
    </row>
    <row r="12" spans="1:3" x14ac:dyDescent="0.3">
      <c r="A12" s="37" t="str" cm="1">
        <f t="array" ref="A12:C14">_xlfn._xlws.FILTER(A4:C9,B4:B9="RETAIL")</f>
        <v>WALMART</v>
      </c>
      <c r="B12" s="37" t="str">
        <v>RETAIL</v>
      </c>
      <c r="C12" s="37">
        <v>341.28</v>
      </c>
    </row>
    <row r="13" spans="1:3" x14ac:dyDescent="0.3">
      <c r="A13" s="37" t="str">
        <v>COSTRCO</v>
      </c>
      <c r="B13" s="37" t="str">
        <v>RETAIL</v>
      </c>
      <c r="C13" s="37">
        <v>130.25</v>
      </c>
    </row>
    <row r="14" spans="1:3" x14ac:dyDescent="0.3">
      <c r="A14" s="37" t="str">
        <v>MACEY</v>
      </c>
      <c r="B14" s="37" t="str">
        <v>RETAIL</v>
      </c>
      <c r="C14" s="37">
        <v>5.01</v>
      </c>
    </row>
    <row r="16" spans="1:3" x14ac:dyDescent="0.3">
      <c r="A16" s="4" t="s">
        <v>431</v>
      </c>
    </row>
    <row r="18" spans="1:1" x14ac:dyDescent="0.3">
      <c r="A18" t="s">
        <v>432</v>
      </c>
    </row>
    <row r="19" spans="1:1" x14ac:dyDescent="0.3">
      <c r="A19" s="4">
        <v>999</v>
      </c>
    </row>
    <row r="20" spans="1:1" x14ac:dyDescent="0.3">
      <c r="A20" s="43">
        <v>1111</v>
      </c>
    </row>
    <row r="21" spans="1:1" x14ac:dyDescent="0.3">
      <c r="A21">
        <v>2</v>
      </c>
    </row>
    <row r="22" spans="1:1" x14ac:dyDescent="0.3">
      <c r="A22">
        <v>2</v>
      </c>
    </row>
    <row r="23" spans="1:1" x14ac:dyDescent="0.3">
      <c r="A23">
        <v>999</v>
      </c>
    </row>
    <row r="24" spans="1:1" x14ac:dyDescent="0.3">
      <c r="A24">
        <v>4</v>
      </c>
    </row>
    <row r="25" spans="1:1" x14ac:dyDescent="0.3">
      <c r="A25">
        <v>4</v>
      </c>
    </row>
    <row r="27" spans="1:1" x14ac:dyDescent="0.3">
      <c r="A27" cm="1">
        <f t="array" ref="A27:A30">_xlfn.UNIQUE(A19:A25,FALSE,FALSE)</f>
        <v>999</v>
      </c>
    </row>
    <row r="28" spans="1:1" x14ac:dyDescent="0.3">
      <c r="A28">
        <v>1111</v>
      </c>
    </row>
    <row r="29" spans="1:1" x14ac:dyDescent="0.3">
      <c r="A29">
        <v>2</v>
      </c>
    </row>
    <row r="30" spans="1:1" x14ac:dyDescent="0.3">
      <c r="A30">
        <v>4</v>
      </c>
    </row>
    <row r="32" spans="1:1" x14ac:dyDescent="0.3">
      <c r="A32" s="4" t="s">
        <v>433</v>
      </c>
    </row>
    <row r="34" spans="1:2" x14ac:dyDescent="0.3">
      <c r="A34">
        <v>22</v>
      </c>
      <c r="B34">
        <v>33</v>
      </c>
    </row>
    <row r="35" spans="1:2" x14ac:dyDescent="0.3">
      <c r="A35">
        <v>44</v>
      </c>
      <c r="B35">
        <v>55</v>
      </c>
    </row>
    <row r="36" spans="1:2" x14ac:dyDescent="0.3">
      <c r="A36">
        <v>66</v>
      </c>
      <c r="B36">
        <v>77</v>
      </c>
    </row>
    <row r="37" spans="1:2" x14ac:dyDescent="0.3">
      <c r="A37">
        <v>88</v>
      </c>
      <c r="B37">
        <v>99</v>
      </c>
    </row>
    <row r="39" spans="1:2" x14ac:dyDescent="0.3">
      <c r="A39" cm="1">
        <f t="array" ref="A39:B42">_xlfn.SEQUENCE(4,2,22,11)</f>
        <v>22</v>
      </c>
      <c r="B39">
        <v>33</v>
      </c>
    </row>
    <row r="40" spans="1:2" x14ac:dyDescent="0.3">
      <c r="A40">
        <v>44</v>
      </c>
      <c r="B40">
        <v>55</v>
      </c>
    </row>
    <row r="41" spans="1:2" x14ac:dyDescent="0.3">
      <c r="A41">
        <v>66</v>
      </c>
      <c r="B41">
        <v>77</v>
      </c>
    </row>
    <row r="42" spans="1:2" x14ac:dyDescent="0.3">
      <c r="A42">
        <v>88</v>
      </c>
      <c r="B42">
        <v>99</v>
      </c>
    </row>
    <row r="44" spans="1:2" x14ac:dyDescent="0.3">
      <c r="A44" s="4" t="s">
        <v>434</v>
      </c>
    </row>
    <row r="46" spans="1:2" x14ac:dyDescent="0.3">
      <c r="A46" t="s">
        <v>435</v>
      </c>
    </row>
    <row r="48" spans="1:2" x14ac:dyDescent="0.3">
      <c r="A48" t="s">
        <v>436</v>
      </c>
    </row>
    <row r="50" spans="1:5" x14ac:dyDescent="0.3">
      <c r="A50" t="s">
        <v>437</v>
      </c>
    </row>
    <row r="52" spans="1:5" x14ac:dyDescent="0.3">
      <c r="A52" cm="1">
        <f t="array" aca="1" ref="A52:E56" ca="1">_xlfn.RANDARRAY(5,5,1,20,TRUE)</f>
        <v>11</v>
      </c>
      <c r="B52">
        <f ca="1"/>
        <v>7</v>
      </c>
      <c r="C52">
        <f ca="1"/>
        <v>18</v>
      </c>
      <c r="D52">
        <f ca="1"/>
        <v>14</v>
      </c>
      <c r="E52">
        <f ca="1"/>
        <v>15</v>
      </c>
    </row>
    <row r="53" spans="1:5" x14ac:dyDescent="0.3">
      <c r="A53">
        <f ca="1"/>
        <v>13</v>
      </c>
      <c r="B53">
        <f ca="1"/>
        <v>20</v>
      </c>
      <c r="C53">
        <f ca="1"/>
        <v>20</v>
      </c>
      <c r="D53">
        <f ca="1"/>
        <v>17</v>
      </c>
      <c r="E53">
        <f ca="1"/>
        <v>6</v>
      </c>
    </row>
    <row r="54" spans="1:5" x14ac:dyDescent="0.3">
      <c r="A54">
        <f ca="1"/>
        <v>12</v>
      </c>
      <c r="B54">
        <f ca="1"/>
        <v>17</v>
      </c>
      <c r="C54">
        <f ca="1"/>
        <v>20</v>
      </c>
      <c r="D54">
        <f ca="1"/>
        <v>18</v>
      </c>
      <c r="E54">
        <f ca="1"/>
        <v>8</v>
      </c>
    </row>
    <row r="55" spans="1:5" x14ac:dyDescent="0.3">
      <c r="A55">
        <f ca="1"/>
        <v>8</v>
      </c>
      <c r="B55">
        <f ca="1"/>
        <v>18</v>
      </c>
      <c r="C55">
        <f ca="1"/>
        <v>9</v>
      </c>
      <c r="D55">
        <f ca="1"/>
        <v>13</v>
      </c>
      <c r="E55">
        <f ca="1"/>
        <v>11</v>
      </c>
    </row>
    <row r="56" spans="1:5" x14ac:dyDescent="0.3">
      <c r="A56">
        <f ca="1"/>
        <v>7</v>
      </c>
      <c r="B56">
        <f ca="1"/>
        <v>14</v>
      </c>
      <c r="C56">
        <f ca="1"/>
        <v>8</v>
      </c>
      <c r="D56">
        <f ca="1"/>
        <v>7</v>
      </c>
      <c r="E56">
        <f ca="1"/>
        <v>15</v>
      </c>
    </row>
    <row r="60" spans="1:5" x14ac:dyDescent="0.3">
      <c r="A60" s="70" t="s">
        <v>439</v>
      </c>
    </row>
    <row r="61" spans="1:5" x14ac:dyDescent="0.3">
      <c r="A61" s="70"/>
    </row>
    <row r="63" spans="1:5" x14ac:dyDescent="0.3">
      <c r="A63" t="s">
        <v>438</v>
      </c>
    </row>
    <row r="65" spans="1:4" x14ac:dyDescent="0.3">
      <c r="A65" cm="1">
        <f t="array" aca="1" ref="A65:D72" ca="1">_xlfn.RANDARRAY(8,4,10.7,24.3,FALSE)</f>
        <v>16.212345399890435</v>
      </c>
      <c r="B65">
        <f ca="1"/>
        <v>12.839854784807002</v>
      </c>
      <c r="C65">
        <f ca="1"/>
        <v>16.447300342444816</v>
      </c>
      <c r="D65">
        <f ca="1"/>
        <v>17.367647026209657</v>
      </c>
    </row>
    <row r="66" spans="1:4" x14ac:dyDescent="0.3">
      <c r="A66">
        <f ca="1"/>
        <v>14.475944326685269</v>
      </c>
      <c r="B66">
        <f ca="1"/>
        <v>12.965476907640202</v>
      </c>
      <c r="C66">
        <f ca="1"/>
        <v>23.714875226249418</v>
      </c>
      <c r="D66">
        <f ca="1"/>
        <v>15.801038605951852</v>
      </c>
    </row>
    <row r="67" spans="1:4" x14ac:dyDescent="0.3">
      <c r="A67">
        <f ca="1"/>
        <v>17.939149331097113</v>
      </c>
      <c r="B67">
        <f ca="1"/>
        <v>19.309119936934096</v>
      </c>
      <c r="C67">
        <f ca="1"/>
        <v>19.890030763134352</v>
      </c>
      <c r="D67">
        <f ca="1"/>
        <v>20.671455815025222</v>
      </c>
    </row>
    <row r="68" spans="1:4" x14ac:dyDescent="0.3">
      <c r="A68">
        <f ca="1"/>
        <v>11.070744980350497</v>
      </c>
      <c r="B68">
        <f ca="1"/>
        <v>10.767357656202027</v>
      </c>
      <c r="C68">
        <f ca="1"/>
        <v>22.156335219075338</v>
      </c>
      <c r="D68">
        <f ca="1"/>
        <v>23.499839192420456</v>
      </c>
    </row>
    <row r="69" spans="1:4" x14ac:dyDescent="0.3">
      <c r="A69">
        <f ca="1"/>
        <v>20.1820369958754</v>
      </c>
      <c r="B69">
        <f ca="1"/>
        <v>17.192028366720272</v>
      </c>
      <c r="C69">
        <f ca="1"/>
        <v>17.156829095250945</v>
      </c>
      <c r="D69">
        <f ca="1"/>
        <v>15.429504161765578</v>
      </c>
    </row>
    <row r="70" spans="1:4" x14ac:dyDescent="0.3">
      <c r="A70">
        <f ca="1"/>
        <v>15.068554990505064</v>
      </c>
      <c r="B70">
        <f ca="1"/>
        <v>21.065545047243681</v>
      </c>
      <c r="C70">
        <f ca="1"/>
        <v>16.352019175072549</v>
      </c>
      <c r="D70">
        <f ca="1"/>
        <v>18.023294978316454</v>
      </c>
    </row>
    <row r="71" spans="1:4" x14ac:dyDescent="0.3">
      <c r="A71">
        <f ca="1"/>
        <v>13.320301295965571</v>
      </c>
      <c r="B71">
        <f ca="1"/>
        <v>10.830659362058892</v>
      </c>
      <c r="C71">
        <f ca="1"/>
        <v>18.658890636327758</v>
      </c>
      <c r="D71">
        <f ca="1"/>
        <v>17.566921481959621</v>
      </c>
    </row>
    <row r="72" spans="1:4" x14ac:dyDescent="0.3">
      <c r="A72">
        <f ca="1"/>
        <v>21.268969182092796</v>
      </c>
      <c r="B72">
        <f ca="1"/>
        <v>16.340660429715314</v>
      </c>
      <c r="C72">
        <f ca="1"/>
        <v>11.492749702825524</v>
      </c>
      <c r="D72">
        <f ca="1"/>
        <v>23.196299700412634</v>
      </c>
    </row>
  </sheetData>
  <mergeCells count="1">
    <mergeCell ref="A60:A6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42D23-A35F-4641-8786-B95C1A3057F3}">
  <dimension ref="A1:F16"/>
  <sheetViews>
    <sheetView workbookViewId="0">
      <selection activeCell="G25" sqref="G25"/>
    </sheetView>
  </sheetViews>
  <sheetFormatPr defaultRowHeight="14.4" x14ac:dyDescent="0.3"/>
  <cols>
    <col min="2" max="2" width="17.109375" customWidth="1"/>
    <col min="3" max="3" width="12" customWidth="1"/>
    <col min="4" max="4" width="13.77734375" customWidth="1"/>
    <col min="5" max="5" width="14.44140625" customWidth="1"/>
  </cols>
  <sheetData>
    <row r="1" spans="1:6" x14ac:dyDescent="0.3">
      <c r="A1" s="48" t="s">
        <v>299</v>
      </c>
    </row>
    <row r="3" spans="1:6" x14ac:dyDescent="0.3">
      <c r="A3" t="s">
        <v>440</v>
      </c>
      <c r="B3" t="s">
        <v>441</v>
      </c>
      <c r="C3" t="s">
        <v>442</v>
      </c>
      <c r="D3" t="s">
        <v>443</v>
      </c>
      <c r="E3" t="s">
        <v>444</v>
      </c>
      <c r="F3" t="s">
        <v>445</v>
      </c>
    </row>
    <row r="4" spans="1:6" x14ac:dyDescent="0.3">
      <c r="A4" t="s">
        <v>446</v>
      </c>
      <c r="B4" t="s">
        <v>456</v>
      </c>
      <c r="C4" t="s">
        <v>462</v>
      </c>
      <c r="D4">
        <v>55000</v>
      </c>
      <c r="E4" t="s">
        <v>465</v>
      </c>
      <c r="F4">
        <v>2021</v>
      </c>
    </row>
    <row r="5" spans="1:6" x14ac:dyDescent="0.3">
      <c r="A5" t="s">
        <v>447</v>
      </c>
      <c r="B5" t="s">
        <v>457</v>
      </c>
      <c r="C5" t="s">
        <v>263</v>
      </c>
      <c r="D5">
        <v>48000</v>
      </c>
      <c r="E5" t="s">
        <v>466</v>
      </c>
      <c r="F5">
        <v>2019</v>
      </c>
    </row>
    <row r="6" spans="1:6" x14ac:dyDescent="0.3">
      <c r="A6" t="s">
        <v>448</v>
      </c>
      <c r="B6" t="s">
        <v>409</v>
      </c>
      <c r="C6" t="s">
        <v>266</v>
      </c>
      <c r="D6">
        <v>72000</v>
      </c>
      <c r="E6" t="s">
        <v>467</v>
      </c>
      <c r="F6">
        <v>2020</v>
      </c>
    </row>
    <row r="7" spans="1:6" x14ac:dyDescent="0.3">
      <c r="A7" t="s">
        <v>449</v>
      </c>
      <c r="B7" t="s">
        <v>351</v>
      </c>
      <c r="C7" t="s">
        <v>266</v>
      </c>
      <c r="D7">
        <v>69000</v>
      </c>
      <c r="E7" t="s">
        <v>468</v>
      </c>
      <c r="F7">
        <v>2022</v>
      </c>
    </row>
    <row r="8" spans="1:6" x14ac:dyDescent="0.3">
      <c r="A8" t="s">
        <v>450</v>
      </c>
      <c r="B8" t="s">
        <v>471</v>
      </c>
      <c r="C8" t="s">
        <v>463</v>
      </c>
      <c r="D8">
        <v>58000</v>
      </c>
      <c r="E8" t="s">
        <v>465</v>
      </c>
      <c r="F8">
        <v>2021</v>
      </c>
    </row>
    <row r="9" spans="1:6" x14ac:dyDescent="0.3">
      <c r="A9" t="s">
        <v>451</v>
      </c>
      <c r="B9" t="s">
        <v>178</v>
      </c>
      <c r="C9" t="s">
        <v>464</v>
      </c>
      <c r="D9">
        <v>51000</v>
      </c>
      <c r="E9" t="s">
        <v>469</v>
      </c>
      <c r="F9">
        <v>2018</v>
      </c>
    </row>
    <row r="10" spans="1:6" x14ac:dyDescent="0.3">
      <c r="A10" t="s">
        <v>452</v>
      </c>
      <c r="B10" t="s">
        <v>458</v>
      </c>
      <c r="C10" t="s">
        <v>462</v>
      </c>
      <c r="D10">
        <v>60000</v>
      </c>
      <c r="E10" t="s">
        <v>466</v>
      </c>
      <c r="F10">
        <v>2023</v>
      </c>
    </row>
    <row r="11" spans="1:6" x14ac:dyDescent="0.3">
      <c r="A11" t="s">
        <v>453</v>
      </c>
      <c r="B11" t="s">
        <v>459</v>
      </c>
      <c r="C11" t="s">
        <v>263</v>
      </c>
      <c r="D11">
        <v>47000</v>
      </c>
      <c r="E11" t="s">
        <v>467</v>
      </c>
      <c r="F11">
        <v>2022</v>
      </c>
    </row>
    <row r="12" spans="1:6" x14ac:dyDescent="0.3">
      <c r="A12" t="s">
        <v>454</v>
      </c>
      <c r="B12" t="s">
        <v>460</v>
      </c>
      <c r="C12" t="s">
        <v>266</v>
      </c>
      <c r="D12">
        <v>73000</v>
      </c>
      <c r="E12" t="s">
        <v>470</v>
      </c>
      <c r="F12">
        <v>2019</v>
      </c>
    </row>
    <row r="13" spans="1:6" x14ac:dyDescent="0.3">
      <c r="A13" t="s">
        <v>455</v>
      </c>
      <c r="B13" t="s">
        <v>461</v>
      </c>
      <c r="C13" t="s">
        <v>463</v>
      </c>
      <c r="D13">
        <v>54000</v>
      </c>
      <c r="E13" t="s">
        <v>465</v>
      </c>
      <c r="F13">
        <v>2020</v>
      </c>
    </row>
    <row r="16" spans="1:6" x14ac:dyDescent="0.3">
      <c r="A16" t="s">
        <v>12</v>
      </c>
    </row>
  </sheetData>
  <phoneticPr fontId="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CC019-F8D8-4AFB-9420-937623C57C96}">
  <dimension ref="A1"/>
  <sheetViews>
    <sheetView workbookViewId="0">
      <selection activeCell="A3" sqref="A3"/>
    </sheetView>
  </sheetViews>
  <sheetFormatPr defaultRowHeight="14.4" x14ac:dyDescent="0.3"/>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ED3A2-AE15-4ED1-AD4E-22914E467E37}">
  <dimension ref="A1:C18"/>
  <sheetViews>
    <sheetView topLeftCell="A3" zoomScale="66" workbookViewId="0">
      <selection activeCell="D3" sqref="D3"/>
    </sheetView>
  </sheetViews>
  <sheetFormatPr defaultRowHeight="14.4" x14ac:dyDescent="0.3"/>
  <cols>
    <col min="1" max="1" width="15.44140625" customWidth="1"/>
  </cols>
  <sheetData>
    <row r="1" spans="1:3" x14ac:dyDescent="0.3">
      <c r="A1" s="52"/>
      <c r="B1" s="53"/>
      <c r="C1" s="54"/>
    </row>
    <row r="2" spans="1:3" x14ac:dyDescent="0.3">
      <c r="A2" s="55"/>
      <c r="B2" s="56"/>
      <c r="C2" s="57"/>
    </row>
    <row r="3" spans="1:3" x14ac:dyDescent="0.3">
      <c r="A3" s="55"/>
      <c r="B3" s="56"/>
      <c r="C3" s="57"/>
    </row>
    <row r="4" spans="1:3" x14ac:dyDescent="0.3">
      <c r="A4" s="55"/>
      <c r="B4" s="56"/>
      <c r="C4" s="57"/>
    </row>
    <row r="5" spans="1:3" x14ac:dyDescent="0.3">
      <c r="A5" s="55"/>
      <c r="B5" s="56"/>
      <c r="C5" s="57"/>
    </row>
    <row r="6" spans="1:3" x14ac:dyDescent="0.3">
      <c r="A6" s="55"/>
      <c r="B6" s="56"/>
      <c r="C6" s="57"/>
    </row>
    <row r="7" spans="1:3" x14ac:dyDescent="0.3">
      <c r="A7" s="55"/>
      <c r="B7" s="56"/>
      <c r="C7" s="57"/>
    </row>
    <row r="8" spans="1:3" x14ac:dyDescent="0.3">
      <c r="A8" s="55"/>
      <c r="B8" s="56"/>
      <c r="C8" s="57"/>
    </row>
    <row r="9" spans="1:3" x14ac:dyDescent="0.3">
      <c r="A9" s="55"/>
      <c r="B9" s="56"/>
      <c r="C9" s="57"/>
    </row>
    <row r="10" spans="1:3" x14ac:dyDescent="0.3">
      <c r="A10" s="55"/>
      <c r="B10" s="56"/>
      <c r="C10" s="57"/>
    </row>
    <row r="11" spans="1:3" x14ac:dyDescent="0.3">
      <c r="A11" s="55"/>
      <c r="B11" s="56"/>
      <c r="C11" s="57"/>
    </row>
    <row r="12" spans="1:3" x14ac:dyDescent="0.3">
      <c r="A12" s="55"/>
      <c r="B12" s="56"/>
      <c r="C12" s="57"/>
    </row>
    <row r="13" spans="1:3" x14ac:dyDescent="0.3">
      <c r="A13" s="55"/>
      <c r="B13" s="56"/>
      <c r="C13" s="57"/>
    </row>
    <row r="14" spans="1:3" x14ac:dyDescent="0.3">
      <c r="A14" s="55"/>
      <c r="B14" s="56"/>
      <c r="C14" s="57"/>
    </row>
    <row r="15" spans="1:3" x14ac:dyDescent="0.3">
      <c r="A15" s="55"/>
      <c r="B15" s="56"/>
      <c r="C15" s="57"/>
    </row>
    <row r="16" spans="1:3" x14ac:dyDescent="0.3">
      <c r="A16" s="55"/>
      <c r="B16" s="56"/>
      <c r="C16" s="57"/>
    </row>
    <row r="17" spans="1:3" x14ac:dyDescent="0.3">
      <c r="A17" s="55"/>
      <c r="B17" s="56"/>
      <c r="C17" s="57"/>
    </row>
    <row r="18" spans="1:3" x14ac:dyDescent="0.3">
      <c r="A18" s="58"/>
      <c r="B18" s="59"/>
      <c r="C18" s="60"/>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C3AF8-6F07-496B-B76C-F44CB5E890FC}">
  <dimension ref="A5:C7"/>
  <sheetViews>
    <sheetView workbookViewId="0">
      <selection activeCell="C11" sqref="C11"/>
    </sheetView>
  </sheetViews>
  <sheetFormatPr defaultRowHeight="14.4" x14ac:dyDescent="0.3"/>
  <cols>
    <col min="1" max="1" width="12.44140625" customWidth="1"/>
    <col min="2" max="2" width="15.109375" customWidth="1"/>
    <col min="3" max="3" width="14.6640625" customWidth="1"/>
    <col min="4" max="4" width="4" customWidth="1"/>
    <col min="5" max="40" width="4" bestFit="1" customWidth="1"/>
    <col min="41" max="41" width="10.5546875" bestFit="1" customWidth="1"/>
    <col min="42" max="42" width="17.109375" bestFit="1" customWidth="1"/>
    <col min="43" max="43" width="20" bestFit="1" customWidth="1"/>
    <col min="44" max="44" width="17.109375" bestFit="1" customWidth="1"/>
    <col min="45" max="45" width="20" bestFit="1" customWidth="1"/>
    <col min="46" max="46" width="17.109375" bestFit="1" customWidth="1"/>
    <col min="47" max="47" width="20" bestFit="1" customWidth="1"/>
    <col min="48" max="48" width="17.109375" bestFit="1" customWidth="1"/>
    <col min="49" max="49" width="20" bestFit="1" customWidth="1"/>
    <col min="50" max="50" width="17.109375" bestFit="1" customWidth="1"/>
    <col min="51" max="51" width="20" bestFit="1" customWidth="1"/>
    <col min="52" max="52" width="17.109375" bestFit="1" customWidth="1"/>
    <col min="53" max="53" width="20" bestFit="1" customWidth="1"/>
    <col min="54" max="54" width="17.109375" bestFit="1" customWidth="1"/>
    <col min="55" max="55" width="20" bestFit="1" customWidth="1"/>
    <col min="56" max="56" width="17.109375" bestFit="1" customWidth="1"/>
    <col min="57" max="57" width="20" bestFit="1" customWidth="1"/>
    <col min="58" max="58" width="17.109375" bestFit="1" customWidth="1"/>
    <col min="59" max="59" width="20" bestFit="1" customWidth="1"/>
    <col min="60" max="60" width="17.109375" bestFit="1" customWidth="1"/>
    <col min="61" max="61" width="20" bestFit="1" customWidth="1"/>
    <col min="62" max="62" width="17.109375" bestFit="1" customWidth="1"/>
    <col min="63" max="63" width="20" bestFit="1" customWidth="1"/>
    <col min="64" max="64" width="17.109375" bestFit="1" customWidth="1"/>
    <col min="65" max="65" width="20" bestFit="1" customWidth="1"/>
    <col min="66" max="66" width="17.109375" bestFit="1" customWidth="1"/>
    <col min="67" max="67" width="20" bestFit="1" customWidth="1"/>
    <col min="68" max="68" width="17.109375" bestFit="1" customWidth="1"/>
    <col min="69" max="69" width="20" bestFit="1" customWidth="1"/>
    <col min="70" max="70" width="17.109375" bestFit="1" customWidth="1"/>
    <col min="71" max="71" width="20" bestFit="1" customWidth="1"/>
    <col min="72" max="72" width="10.5546875" bestFit="1" customWidth="1"/>
    <col min="73" max="73" width="17.109375" bestFit="1" customWidth="1"/>
    <col min="74" max="74" width="20" bestFit="1" customWidth="1"/>
    <col min="75" max="75" width="8.44140625" bestFit="1" customWidth="1"/>
    <col min="76" max="76" width="18.109375" bestFit="1" customWidth="1"/>
    <col min="77" max="77" width="21" bestFit="1" customWidth="1"/>
    <col min="78" max="78" width="8.44140625" bestFit="1" customWidth="1"/>
    <col min="79" max="79" width="17.109375" bestFit="1" customWidth="1"/>
    <col min="80" max="80" width="20" bestFit="1" customWidth="1"/>
    <col min="81" max="81" width="8.44140625" bestFit="1" customWidth="1"/>
    <col min="82" max="82" width="17.109375" bestFit="1" customWidth="1"/>
    <col min="83" max="83" width="20" bestFit="1" customWidth="1"/>
    <col min="84" max="84" width="8.44140625" bestFit="1" customWidth="1"/>
    <col min="85" max="85" width="17.109375" bestFit="1" customWidth="1"/>
    <col min="86" max="86" width="20" bestFit="1" customWidth="1"/>
    <col min="87" max="87" width="8.44140625" bestFit="1" customWidth="1"/>
    <col min="88" max="88" width="17.109375" bestFit="1" customWidth="1"/>
    <col min="89" max="89" width="20" bestFit="1" customWidth="1"/>
    <col min="90" max="90" width="8.44140625" bestFit="1" customWidth="1"/>
    <col min="91" max="91" width="17.109375" bestFit="1" customWidth="1"/>
    <col min="92" max="92" width="20" bestFit="1" customWidth="1"/>
    <col min="93" max="93" width="8.44140625" bestFit="1" customWidth="1"/>
    <col min="94" max="94" width="17.109375" bestFit="1" customWidth="1"/>
    <col min="95" max="95" width="20" bestFit="1" customWidth="1"/>
    <col min="96" max="96" width="8.44140625" bestFit="1" customWidth="1"/>
    <col min="97" max="97" width="18.109375" bestFit="1" customWidth="1"/>
    <col min="98" max="98" width="21" bestFit="1" customWidth="1"/>
    <col min="99" max="99" width="8.44140625" bestFit="1" customWidth="1"/>
    <col min="100" max="100" width="18.109375" bestFit="1" customWidth="1"/>
    <col min="101" max="101" width="21" bestFit="1" customWidth="1"/>
    <col min="102" max="102" width="8.44140625" bestFit="1" customWidth="1"/>
    <col min="103" max="103" width="17.109375" bestFit="1" customWidth="1"/>
    <col min="104" max="104" width="20" bestFit="1" customWidth="1"/>
    <col min="105" max="105" width="8.44140625" bestFit="1" customWidth="1"/>
    <col min="106" max="106" width="17.109375" bestFit="1" customWidth="1"/>
    <col min="107" max="107" width="20" bestFit="1" customWidth="1"/>
    <col min="108" max="108" width="17.109375" bestFit="1" customWidth="1"/>
    <col min="109" max="109" width="20" bestFit="1" customWidth="1"/>
    <col min="110" max="110" width="17.109375" bestFit="1" customWidth="1"/>
    <col min="111" max="111" width="20" bestFit="1" customWidth="1"/>
    <col min="112" max="112" width="8.44140625" bestFit="1" customWidth="1"/>
    <col min="113" max="113" width="17.109375" bestFit="1" customWidth="1"/>
    <col min="114" max="114" width="20" bestFit="1" customWidth="1"/>
    <col min="115" max="115" width="8.44140625" bestFit="1" customWidth="1"/>
    <col min="116" max="116" width="17.109375" bestFit="1" customWidth="1"/>
    <col min="117" max="117" width="20" bestFit="1" customWidth="1"/>
    <col min="118" max="118" width="8.44140625" bestFit="1" customWidth="1"/>
    <col min="119" max="119" width="17.109375" bestFit="1" customWidth="1"/>
    <col min="120" max="120" width="20" bestFit="1" customWidth="1"/>
    <col min="121" max="121" width="8.44140625" bestFit="1" customWidth="1"/>
    <col min="122" max="122" width="17.109375" bestFit="1" customWidth="1"/>
    <col min="123" max="123" width="20" bestFit="1" customWidth="1"/>
    <col min="124" max="124" width="8.44140625" bestFit="1" customWidth="1"/>
    <col min="125" max="125" width="18.109375" bestFit="1" customWidth="1"/>
    <col min="126" max="126" width="21" bestFit="1" customWidth="1"/>
    <col min="127" max="127" width="8.44140625" bestFit="1" customWidth="1"/>
    <col min="128" max="128" width="17.109375" bestFit="1" customWidth="1"/>
    <col min="129" max="129" width="20" bestFit="1" customWidth="1"/>
    <col min="130" max="130" width="8.44140625" bestFit="1" customWidth="1"/>
    <col min="131" max="131" width="17.109375" bestFit="1" customWidth="1"/>
    <col min="132" max="132" width="20" bestFit="1" customWidth="1"/>
    <col min="133" max="133" width="8.44140625" bestFit="1" customWidth="1"/>
    <col min="134" max="134" width="17.109375" bestFit="1" customWidth="1"/>
    <col min="135" max="135" width="20" bestFit="1" customWidth="1"/>
    <col min="136" max="136" width="8.44140625" bestFit="1" customWidth="1"/>
    <col min="137" max="137" width="17.109375" bestFit="1" customWidth="1"/>
    <col min="138" max="138" width="20" bestFit="1" customWidth="1"/>
    <col min="139" max="139" width="8.44140625" bestFit="1" customWidth="1"/>
    <col min="140" max="140" width="10.5546875" bestFit="1" customWidth="1"/>
  </cols>
  <sheetData>
    <row r="5" spans="1:3" x14ac:dyDescent="0.3">
      <c r="A5" s="61" t="s">
        <v>476</v>
      </c>
      <c r="B5" t="s">
        <v>472</v>
      </c>
      <c r="C5" t="s">
        <v>473</v>
      </c>
    </row>
    <row r="6" spans="1:3" x14ac:dyDescent="0.3">
      <c r="A6" s="62" t="s">
        <v>475</v>
      </c>
      <c r="B6">
        <v>24663</v>
      </c>
      <c r="C6">
        <v>50</v>
      </c>
    </row>
    <row r="7" spans="1:3" x14ac:dyDescent="0.3">
      <c r="A7" s="62" t="s">
        <v>474</v>
      </c>
      <c r="B7">
        <v>24663</v>
      </c>
      <c r="C7">
        <v>50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E0EAE-025A-4D3C-89E2-81E8A7CB5AA4}">
  <dimension ref="A1:L12"/>
  <sheetViews>
    <sheetView zoomScale="74" zoomScaleNormal="64" workbookViewId="0">
      <selection activeCell="H35" sqref="H35"/>
    </sheetView>
  </sheetViews>
  <sheetFormatPr defaultRowHeight="14.4" x14ac:dyDescent="0.3"/>
  <cols>
    <col min="1" max="1" width="12.6640625" customWidth="1"/>
    <col min="2" max="2" width="16.77734375" customWidth="1"/>
    <col min="4" max="4" width="12.6640625" customWidth="1"/>
    <col min="5" max="5" width="16.77734375" customWidth="1"/>
    <col min="7" max="7" width="12.6640625" customWidth="1"/>
    <col min="8" max="8" width="16.77734375" customWidth="1"/>
    <col min="11" max="11" width="12.6640625" customWidth="1"/>
    <col min="12" max="12" width="16.21875" customWidth="1"/>
  </cols>
  <sheetData>
    <row r="1" spans="1:12" x14ac:dyDescent="0.3">
      <c r="A1" s="61" t="s">
        <v>476</v>
      </c>
      <c r="B1" t="s">
        <v>511</v>
      </c>
      <c r="D1" s="61" t="s">
        <v>476</v>
      </c>
      <c r="E1" t="s">
        <v>511</v>
      </c>
      <c r="G1" s="61" t="s">
        <v>476</v>
      </c>
      <c r="H1" t="s">
        <v>511</v>
      </c>
      <c r="K1" s="61" t="s">
        <v>476</v>
      </c>
      <c r="L1" t="s">
        <v>512</v>
      </c>
    </row>
    <row r="2" spans="1:12" x14ac:dyDescent="0.3">
      <c r="A2" s="62" t="s">
        <v>489</v>
      </c>
      <c r="B2" s="66">
        <v>3534400</v>
      </c>
      <c r="D2" s="62" t="s">
        <v>493</v>
      </c>
      <c r="E2" s="66">
        <v>547200</v>
      </c>
      <c r="G2" s="62" t="s">
        <v>485</v>
      </c>
      <c r="H2" s="66">
        <v>1591600</v>
      </c>
      <c r="K2" s="62" t="s">
        <v>493</v>
      </c>
      <c r="L2">
        <v>456</v>
      </c>
    </row>
    <row r="3" spans="1:12" x14ac:dyDescent="0.3">
      <c r="A3" s="62" t="s">
        <v>495</v>
      </c>
      <c r="B3" s="66">
        <v>2661400</v>
      </c>
      <c r="D3" s="62" t="s">
        <v>490</v>
      </c>
      <c r="E3" s="66">
        <v>2222500</v>
      </c>
      <c r="G3" s="62" t="s">
        <v>502</v>
      </c>
      <c r="H3" s="66">
        <v>677600</v>
      </c>
      <c r="K3" s="62" t="s">
        <v>490</v>
      </c>
      <c r="L3">
        <v>635</v>
      </c>
    </row>
    <row r="4" spans="1:12" x14ac:dyDescent="0.3">
      <c r="A4" s="62" t="s">
        <v>492</v>
      </c>
      <c r="B4" s="66">
        <v>2870600</v>
      </c>
      <c r="D4" s="62" t="s">
        <v>503</v>
      </c>
      <c r="E4" s="66">
        <v>706800</v>
      </c>
      <c r="G4" s="62" t="s">
        <v>494</v>
      </c>
      <c r="H4" s="66">
        <v>1957000</v>
      </c>
      <c r="K4" s="62" t="s">
        <v>503</v>
      </c>
      <c r="L4">
        <v>1178</v>
      </c>
    </row>
    <row r="5" spans="1:12" x14ac:dyDescent="0.3">
      <c r="A5" s="62" t="s">
        <v>486</v>
      </c>
      <c r="B5" s="66">
        <v>3878100</v>
      </c>
      <c r="D5" s="62" t="s">
        <v>496</v>
      </c>
      <c r="E5" s="66">
        <v>898000</v>
      </c>
      <c r="G5" s="62" t="s">
        <v>499</v>
      </c>
      <c r="H5" s="66">
        <v>1661400</v>
      </c>
      <c r="K5" s="62" t="s">
        <v>496</v>
      </c>
      <c r="L5">
        <v>898</v>
      </c>
    </row>
    <row r="6" spans="1:12" x14ac:dyDescent="0.3">
      <c r="A6" s="62" t="s">
        <v>474</v>
      </c>
      <c r="B6" s="66">
        <v>12944500</v>
      </c>
      <c r="D6" s="62" t="s">
        <v>505</v>
      </c>
      <c r="E6" s="66">
        <v>2350000</v>
      </c>
      <c r="G6" s="62" t="s">
        <v>501</v>
      </c>
      <c r="H6" s="66">
        <v>1741200</v>
      </c>
      <c r="K6" s="62" t="s">
        <v>505</v>
      </c>
      <c r="L6">
        <v>235</v>
      </c>
    </row>
    <row r="7" spans="1:12" x14ac:dyDescent="0.3">
      <c r="D7" s="62" t="s">
        <v>498</v>
      </c>
      <c r="E7" s="66">
        <v>3196000</v>
      </c>
      <c r="G7" s="62" t="s">
        <v>491</v>
      </c>
      <c r="H7" s="66">
        <v>1110000</v>
      </c>
      <c r="K7" s="62" t="s">
        <v>498</v>
      </c>
      <c r="L7">
        <v>799</v>
      </c>
    </row>
    <row r="8" spans="1:12" x14ac:dyDescent="0.3">
      <c r="D8" s="62" t="s">
        <v>487</v>
      </c>
      <c r="E8" s="66">
        <v>3024000</v>
      </c>
      <c r="G8" s="62" t="s">
        <v>488</v>
      </c>
      <c r="H8" s="66">
        <v>1777400</v>
      </c>
      <c r="K8" s="62" t="s">
        <v>487</v>
      </c>
      <c r="L8">
        <v>504</v>
      </c>
    </row>
    <row r="9" spans="1:12" x14ac:dyDescent="0.3">
      <c r="D9" s="62" t="s">
        <v>474</v>
      </c>
      <c r="E9" s="66">
        <v>12944500</v>
      </c>
      <c r="G9" s="62" t="s">
        <v>497</v>
      </c>
      <c r="H9" s="66">
        <v>1065400</v>
      </c>
      <c r="K9" s="62" t="s">
        <v>474</v>
      </c>
      <c r="L9">
        <v>4705</v>
      </c>
    </row>
    <row r="10" spans="1:12" x14ac:dyDescent="0.3">
      <c r="G10" s="62" t="s">
        <v>504</v>
      </c>
      <c r="H10" s="66">
        <v>784400</v>
      </c>
    </row>
    <row r="11" spans="1:12" x14ac:dyDescent="0.3">
      <c r="G11" s="62" t="s">
        <v>500</v>
      </c>
      <c r="H11" s="66">
        <v>578500</v>
      </c>
    </row>
    <row r="12" spans="1:12" x14ac:dyDescent="0.3">
      <c r="G12" s="62" t="s">
        <v>474</v>
      </c>
      <c r="H12" s="66">
        <v>12944500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8197-5AF0-46B6-A489-924316712060}">
  <dimension ref="A1:L52"/>
  <sheetViews>
    <sheetView zoomScale="66" workbookViewId="0">
      <selection activeCell="L8" sqref="L8"/>
    </sheetView>
  </sheetViews>
  <sheetFormatPr defaultRowHeight="14.4" x14ac:dyDescent="0.3"/>
  <cols>
    <col min="1" max="1" width="10.33203125" customWidth="1"/>
    <col min="2" max="2" width="13.77734375" customWidth="1"/>
    <col min="4" max="4" width="14.33203125" customWidth="1"/>
    <col min="5" max="5" width="12.88671875" customWidth="1"/>
    <col min="6" max="6" width="14.21875" style="63" customWidth="1"/>
    <col min="7" max="7" width="15.44140625" style="66" customWidth="1"/>
    <col min="8" max="10" width="14.5546875" style="66" customWidth="1"/>
    <col min="12" max="12" width="18.44140625" customWidth="1"/>
  </cols>
  <sheetData>
    <row r="1" spans="1:12" x14ac:dyDescent="0.3">
      <c r="A1" s="49" t="s">
        <v>477</v>
      </c>
      <c r="B1" s="49" t="s">
        <v>478</v>
      </c>
      <c r="C1" s="49" t="s">
        <v>479</v>
      </c>
      <c r="D1" s="49" t="s">
        <v>480</v>
      </c>
      <c r="E1" s="49" t="s">
        <v>481</v>
      </c>
      <c r="F1" s="64" t="s">
        <v>482</v>
      </c>
      <c r="G1" s="64" t="s">
        <v>483</v>
      </c>
      <c r="H1" s="64" t="s">
        <v>484</v>
      </c>
      <c r="I1" s="64" t="s">
        <v>506</v>
      </c>
      <c r="L1" s="1" t="s">
        <v>507</v>
      </c>
    </row>
    <row r="2" spans="1:12" x14ac:dyDescent="0.3">
      <c r="A2" s="51">
        <v>44246</v>
      </c>
      <c r="B2" s="50" t="s">
        <v>485</v>
      </c>
      <c r="C2" s="50" t="s">
        <v>486</v>
      </c>
      <c r="D2" s="50" t="s">
        <v>487</v>
      </c>
      <c r="E2" s="50">
        <v>84</v>
      </c>
      <c r="F2" s="65">
        <v>6000</v>
      </c>
      <c r="G2" s="65">
        <v>4000</v>
      </c>
      <c r="H2" s="65">
        <v>504000</v>
      </c>
      <c r="I2" s="65">
        <f>H2-(G2*E2)</f>
        <v>168000</v>
      </c>
      <c r="L2" s="67">
        <f>SUM(H2:H51)</f>
        <v>12944500</v>
      </c>
    </row>
    <row r="3" spans="1:12" x14ac:dyDescent="0.3">
      <c r="A3" s="51">
        <v>44446</v>
      </c>
      <c r="B3" s="50" t="s">
        <v>488</v>
      </c>
      <c r="C3" s="50" t="s">
        <v>489</v>
      </c>
      <c r="D3" s="50" t="s">
        <v>490</v>
      </c>
      <c r="E3" s="50">
        <v>128</v>
      </c>
      <c r="F3" s="65">
        <v>3500</v>
      </c>
      <c r="G3" s="65">
        <v>2500</v>
      </c>
      <c r="H3" s="65">
        <v>448000</v>
      </c>
      <c r="I3" s="65">
        <f t="shared" ref="I3:I51" si="0">H3-(G3*E3)</f>
        <v>128000</v>
      </c>
      <c r="L3" s="1" t="s">
        <v>508</v>
      </c>
    </row>
    <row r="4" spans="1:12" x14ac:dyDescent="0.3">
      <c r="A4" s="51">
        <v>44230</v>
      </c>
      <c r="B4" s="50" t="s">
        <v>491</v>
      </c>
      <c r="C4" s="50" t="s">
        <v>492</v>
      </c>
      <c r="D4" s="50" t="s">
        <v>493</v>
      </c>
      <c r="E4" s="50">
        <v>136</v>
      </c>
      <c r="F4" s="65">
        <v>1200</v>
      </c>
      <c r="G4" s="65">
        <v>800</v>
      </c>
      <c r="H4" s="65">
        <v>163200</v>
      </c>
      <c r="I4" s="65">
        <f t="shared" si="0"/>
        <v>54400</v>
      </c>
      <c r="L4">
        <f>SUM(E2:E51)</f>
        <v>4705</v>
      </c>
    </row>
    <row r="5" spans="1:12" x14ac:dyDescent="0.3">
      <c r="A5" s="2">
        <v>44450</v>
      </c>
      <c r="B5" s="50" t="s">
        <v>494</v>
      </c>
      <c r="C5" s="50" t="s">
        <v>495</v>
      </c>
      <c r="D5" s="50" t="s">
        <v>496</v>
      </c>
      <c r="E5" s="50">
        <v>91</v>
      </c>
      <c r="F5" s="65">
        <v>1000</v>
      </c>
      <c r="G5" s="65">
        <v>700</v>
      </c>
      <c r="H5" s="65">
        <v>91000</v>
      </c>
      <c r="I5" s="65">
        <f t="shared" si="0"/>
        <v>27300</v>
      </c>
      <c r="L5" s="1" t="s">
        <v>509</v>
      </c>
    </row>
    <row r="6" spans="1:12" x14ac:dyDescent="0.3">
      <c r="A6" s="2">
        <v>44462</v>
      </c>
      <c r="B6" s="50" t="s">
        <v>497</v>
      </c>
      <c r="C6" s="50" t="s">
        <v>486</v>
      </c>
      <c r="D6" s="50" t="s">
        <v>498</v>
      </c>
      <c r="E6" s="50">
        <v>110</v>
      </c>
      <c r="F6" s="65">
        <v>4000</v>
      </c>
      <c r="G6" s="65">
        <v>3000</v>
      </c>
      <c r="H6" s="65">
        <v>440000</v>
      </c>
      <c r="I6" s="65">
        <f t="shared" si="0"/>
        <v>110000</v>
      </c>
      <c r="L6" s="67">
        <f>SUM(I2:I51)</f>
        <v>3834400</v>
      </c>
    </row>
    <row r="7" spans="1:12" x14ac:dyDescent="0.3">
      <c r="A7" s="2">
        <v>44105</v>
      </c>
      <c r="B7" s="50" t="s">
        <v>499</v>
      </c>
      <c r="C7" s="50" t="s">
        <v>489</v>
      </c>
      <c r="D7" s="50" t="s">
        <v>493</v>
      </c>
      <c r="E7" s="50">
        <v>51</v>
      </c>
      <c r="F7" s="65">
        <v>1200</v>
      </c>
      <c r="G7" s="65">
        <v>800</v>
      </c>
      <c r="H7" s="65">
        <v>61200</v>
      </c>
      <c r="I7" s="65">
        <f t="shared" si="0"/>
        <v>20400</v>
      </c>
      <c r="L7" s="1" t="s">
        <v>510</v>
      </c>
    </row>
    <row r="8" spans="1:12" x14ac:dyDescent="0.3">
      <c r="A8" s="2">
        <v>44413</v>
      </c>
      <c r="B8" s="50" t="s">
        <v>500</v>
      </c>
      <c r="C8" s="50" t="s">
        <v>495</v>
      </c>
      <c r="D8" s="50" t="s">
        <v>496</v>
      </c>
      <c r="E8" s="50">
        <v>78</v>
      </c>
      <c r="F8" s="65">
        <v>1000</v>
      </c>
      <c r="G8" s="65">
        <v>700</v>
      </c>
      <c r="H8" s="65">
        <v>78000</v>
      </c>
      <c r="I8" s="65">
        <f t="shared" si="0"/>
        <v>23400</v>
      </c>
      <c r="L8" s="67">
        <f>AVERAGE(H2:H51)</f>
        <v>258890</v>
      </c>
    </row>
    <row r="9" spans="1:12" x14ac:dyDescent="0.3">
      <c r="A9" s="2">
        <v>44141</v>
      </c>
      <c r="B9" s="50" t="s">
        <v>501</v>
      </c>
      <c r="C9" s="50" t="s">
        <v>492</v>
      </c>
      <c r="D9" s="50" t="s">
        <v>487</v>
      </c>
      <c r="E9" s="50">
        <v>146</v>
      </c>
      <c r="F9" s="65">
        <v>6000</v>
      </c>
      <c r="G9" s="65">
        <v>4000</v>
      </c>
      <c r="H9" s="65">
        <v>876000</v>
      </c>
      <c r="I9" s="65">
        <f t="shared" si="0"/>
        <v>292000</v>
      </c>
    </row>
    <row r="10" spans="1:12" x14ac:dyDescent="0.3">
      <c r="A10" s="2">
        <v>44223</v>
      </c>
      <c r="B10" s="50" t="s">
        <v>502</v>
      </c>
      <c r="C10" s="50" t="s">
        <v>486</v>
      </c>
      <c r="D10" s="50" t="s">
        <v>503</v>
      </c>
      <c r="E10" s="50">
        <v>101</v>
      </c>
      <c r="F10" s="65">
        <v>600</v>
      </c>
      <c r="G10" s="65">
        <v>400</v>
      </c>
      <c r="H10" s="65">
        <v>60600</v>
      </c>
      <c r="I10" s="65">
        <f t="shared" si="0"/>
        <v>20200</v>
      </c>
    </row>
    <row r="11" spans="1:12" x14ac:dyDescent="0.3">
      <c r="A11" s="2">
        <v>44442</v>
      </c>
      <c r="B11" s="50" t="s">
        <v>504</v>
      </c>
      <c r="C11" s="50" t="s">
        <v>492</v>
      </c>
      <c r="D11" s="50" t="s">
        <v>487</v>
      </c>
      <c r="E11" s="50">
        <v>52</v>
      </c>
      <c r="F11" s="65">
        <v>6000</v>
      </c>
      <c r="G11" s="65">
        <v>4000</v>
      </c>
      <c r="H11" s="65">
        <v>312000</v>
      </c>
      <c r="I11" s="65">
        <f t="shared" si="0"/>
        <v>104000</v>
      </c>
    </row>
    <row r="12" spans="1:12" x14ac:dyDescent="0.3">
      <c r="A12" s="2">
        <v>44469</v>
      </c>
      <c r="B12" s="50" t="s">
        <v>504</v>
      </c>
      <c r="C12" s="50" t="s">
        <v>489</v>
      </c>
      <c r="D12" s="50" t="s">
        <v>493</v>
      </c>
      <c r="E12" s="50">
        <v>55</v>
      </c>
      <c r="F12" s="65">
        <v>1200</v>
      </c>
      <c r="G12" s="65">
        <v>800</v>
      </c>
      <c r="H12" s="65">
        <v>66000</v>
      </c>
      <c r="I12" s="65">
        <f t="shared" si="0"/>
        <v>22000</v>
      </c>
    </row>
    <row r="13" spans="1:12" x14ac:dyDescent="0.3">
      <c r="A13" s="2">
        <v>44084</v>
      </c>
      <c r="B13" s="50" t="s">
        <v>504</v>
      </c>
      <c r="C13" s="50" t="s">
        <v>492</v>
      </c>
      <c r="D13" s="50" t="s">
        <v>496</v>
      </c>
      <c r="E13" s="50">
        <v>137</v>
      </c>
      <c r="F13" s="65">
        <v>1000</v>
      </c>
      <c r="G13" s="65">
        <v>700</v>
      </c>
      <c r="H13" s="65">
        <v>137000</v>
      </c>
      <c r="I13" s="65">
        <f t="shared" si="0"/>
        <v>41100</v>
      </c>
    </row>
    <row r="14" spans="1:12" x14ac:dyDescent="0.3">
      <c r="A14" s="2">
        <v>44404</v>
      </c>
      <c r="B14" s="50" t="s">
        <v>501</v>
      </c>
      <c r="C14" s="50" t="s">
        <v>492</v>
      </c>
      <c r="D14" s="50" t="s">
        <v>490</v>
      </c>
      <c r="E14" s="50">
        <v>96</v>
      </c>
      <c r="F14" s="65">
        <v>3500</v>
      </c>
      <c r="G14" s="65">
        <v>2500</v>
      </c>
      <c r="H14" s="65">
        <v>336000</v>
      </c>
      <c r="I14" s="65">
        <f t="shared" si="0"/>
        <v>96000</v>
      </c>
    </row>
    <row r="15" spans="1:12" x14ac:dyDescent="0.3">
      <c r="A15" s="2">
        <v>44113</v>
      </c>
      <c r="B15" s="50" t="s">
        <v>502</v>
      </c>
      <c r="C15" s="50" t="s">
        <v>489</v>
      </c>
      <c r="D15" s="50" t="s">
        <v>498</v>
      </c>
      <c r="E15" s="50">
        <v>52</v>
      </c>
      <c r="F15" s="65">
        <v>4000</v>
      </c>
      <c r="G15" s="65">
        <v>3000</v>
      </c>
      <c r="H15" s="65">
        <v>208000</v>
      </c>
      <c r="I15" s="65">
        <f t="shared" si="0"/>
        <v>52000</v>
      </c>
    </row>
    <row r="16" spans="1:12" x14ac:dyDescent="0.3">
      <c r="A16" s="2">
        <v>44292</v>
      </c>
      <c r="B16" s="50" t="s">
        <v>494</v>
      </c>
      <c r="C16" s="50" t="s">
        <v>486</v>
      </c>
      <c r="D16" s="50" t="s">
        <v>490</v>
      </c>
      <c r="E16" s="50">
        <v>76</v>
      </c>
      <c r="F16" s="65">
        <v>3500</v>
      </c>
      <c r="G16" s="65">
        <v>2500</v>
      </c>
      <c r="H16" s="65">
        <v>266000</v>
      </c>
      <c r="I16" s="65">
        <f t="shared" si="0"/>
        <v>76000</v>
      </c>
    </row>
    <row r="17" spans="1:9" x14ac:dyDescent="0.3">
      <c r="A17" s="2">
        <v>44362</v>
      </c>
      <c r="B17" s="50" t="s">
        <v>488</v>
      </c>
      <c r="C17" s="50" t="s">
        <v>495</v>
      </c>
      <c r="D17" s="50" t="s">
        <v>498</v>
      </c>
      <c r="E17" s="50">
        <v>145</v>
      </c>
      <c r="F17" s="65">
        <v>4000</v>
      </c>
      <c r="G17" s="65">
        <v>3000</v>
      </c>
      <c r="H17" s="65">
        <v>580000</v>
      </c>
      <c r="I17" s="65">
        <f t="shared" si="0"/>
        <v>145000</v>
      </c>
    </row>
    <row r="18" spans="1:9" x14ac:dyDescent="0.3">
      <c r="A18" s="2">
        <v>44083</v>
      </c>
      <c r="B18" s="50" t="s">
        <v>485</v>
      </c>
      <c r="C18" s="50" t="s">
        <v>492</v>
      </c>
      <c r="D18" s="50" t="s">
        <v>503</v>
      </c>
      <c r="E18" s="50">
        <v>83</v>
      </c>
      <c r="F18" s="65">
        <v>600</v>
      </c>
      <c r="G18" s="65">
        <v>400</v>
      </c>
      <c r="H18" s="65">
        <v>49800</v>
      </c>
      <c r="I18" s="65">
        <f t="shared" si="0"/>
        <v>16600</v>
      </c>
    </row>
    <row r="19" spans="1:9" x14ac:dyDescent="0.3">
      <c r="A19" s="2">
        <v>44421</v>
      </c>
      <c r="B19" s="50" t="s">
        <v>497</v>
      </c>
      <c r="C19" s="50" t="s">
        <v>492</v>
      </c>
      <c r="D19" s="50" t="s">
        <v>496</v>
      </c>
      <c r="E19" s="50">
        <v>91</v>
      </c>
      <c r="F19" s="65">
        <v>1000</v>
      </c>
      <c r="G19" s="65">
        <v>700</v>
      </c>
      <c r="H19" s="65">
        <v>91000</v>
      </c>
      <c r="I19" s="65">
        <f t="shared" si="0"/>
        <v>27300</v>
      </c>
    </row>
    <row r="20" spans="1:9" x14ac:dyDescent="0.3">
      <c r="A20" s="2">
        <v>44070</v>
      </c>
      <c r="B20" s="50" t="s">
        <v>499</v>
      </c>
      <c r="C20" s="50" t="s">
        <v>486</v>
      </c>
      <c r="D20" s="50" t="s">
        <v>505</v>
      </c>
      <c r="E20" s="50">
        <v>108</v>
      </c>
      <c r="F20" s="65">
        <v>10000</v>
      </c>
      <c r="G20" s="65">
        <v>7000</v>
      </c>
      <c r="H20" s="65">
        <v>1080000</v>
      </c>
      <c r="I20" s="65">
        <f t="shared" si="0"/>
        <v>324000</v>
      </c>
    </row>
    <row r="21" spans="1:9" x14ac:dyDescent="0.3">
      <c r="A21" s="2">
        <v>44293</v>
      </c>
      <c r="B21" s="50" t="s">
        <v>491</v>
      </c>
      <c r="C21" s="50" t="s">
        <v>495</v>
      </c>
      <c r="D21" s="50" t="s">
        <v>498</v>
      </c>
      <c r="E21" s="50">
        <v>144</v>
      </c>
      <c r="F21" s="65">
        <v>4000</v>
      </c>
      <c r="G21" s="65">
        <v>3000</v>
      </c>
      <c r="H21" s="65">
        <v>576000</v>
      </c>
      <c r="I21" s="65">
        <f t="shared" si="0"/>
        <v>144000</v>
      </c>
    </row>
    <row r="22" spans="1:9" x14ac:dyDescent="0.3">
      <c r="A22" s="2">
        <v>43990</v>
      </c>
      <c r="B22" s="50" t="s">
        <v>497</v>
      </c>
      <c r="C22" s="50" t="s">
        <v>492</v>
      </c>
      <c r="D22" s="50" t="s">
        <v>503</v>
      </c>
      <c r="E22" s="50">
        <v>92</v>
      </c>
      <c r="F22" s="65">
        <v>600</v>
      </c>
      <c r="G22" s="65">
        <v>400</v>
      </c>
      <c r="H22" s="65">
        <v>55200</v>
      </c>
      <c r="I22" s="65">
        <f t="shared" si="0"/>
        <v>18400</v>
      </c>
    </row>
    <row r="23" spans="1:9" x14ac:dyDescent="0.3">
      <c r="A23" s="2">
        <v>44551</v>
      </c>
      <c r="B23" s="50" t="s">
        <v>501</v>
      </c>
      <c r="C23" s="50" t="s">
        <v>486</v>
      </c>
      <c r="D23" s="50" t="s">
        <v>487</v>
      </c>
      <c r="E23" s="50">
        <v>71</v>
      </c>
      <c r="F23" s="65">
        <v>6000</v>
      </c>
      <c r="G23" s="65">
        <v>4000</v>
      </c>
      <c r="H23" s="65">
        <v>426000</v>
      </c>
      <c r="I23" s="65">
        <f t="shared" si="0"/>
        <v>142000</v>
      </c>
    </row>
    <row r="24" spans="1:9" x14ac:dyDescent="0.3">
      <c r="A24" s="2">
        <v>44418</v>
      </c>
      <c r="B24" s="50" t="s">
        <v>485</v>
      </c>
      <c r="C24" s="50" t="s">
        <v>489</v>
      </c>
      <c r="D24" s="50" t="s">
        <v>503</v>
      </c>
      <c r="E24" s="50">
        <v>103</v>
      </c>
      <c r="F24" s="65">
        <v>600</v>
      </c>
      <c r="G24" s="65">
        <v>400</v>
      </c>
      <c r="H24" s="65">
        <v>61800</v>
      </c>
      <c r="I24" s="65">
        <f t="shared" si="0"/>
        <v>20600</v>
      </c>
    </row>
    <row r="25" spans="1:9" x14ac:dyDescent="0.3">
      <c r="A25" s="51">
        <v>44532</v>
      </c>
      <c r="B25" s="50" t="s">
        <v>504</v>
      </c>
      <c r="C25" s="50" t="s">
        <v>495</v>
      </c>
      <c r="D25" s="50" t="s">
        <v>496</v>
      </c>
      <c r="E25" s="50">
        <v>55</v>
      </c>
      <c r="F25" s="65">
        <v>1000</v>
      </c>
      <c r="G25" s="65">
        <v>700</v>
      </c>
      <c r="H25" s="65">
        <v>55000</v>
      </c>
      <c r="I25" s="65">
        <f t="shared" si="0"/>
        <v>16500</v>
      </c>
    </row>
    <row r="26" spans="1:9" x14ac:dyDescent="0.3">
      <c r="A26" s="51">
        <v>44438</v>
      </c>
      <c r="B26" s="50" t="s">
        <v>499</v>
      </c>
      <c r="C26" s="50" t="s">
        <v>489</v>
      </c>
      <c r="D26" s="50" t="s">
        <v>498</v>
      </c>
      <c r="E26" s="50">
        <v>93</v>
      </c>
      <c r="F26" s="65">
        <v>4000</v>
      </c>
      <c r="G26" s="65">
        <v>3000</v>
      </c>
      <c r="H26" s="65">
        <v>372000</v>
      </c>
      <c r="I26" s="65">
        <f t="shared" si="0"/>
        <v>93000</v>
      </c>
    </row>
    <row r="27" spans="1:9" x14ac:dyDescent="0.3">
      <c r="A27" s="51">
        <v>44336</v>
      </c>
      <c r="B27" s="50" t="s">
        <v>491</v>
      </c>
      <c r="C27" s="50" t="s">
        <v>492</v>
      </c>
      <c r="D27" s="50" t="s">
        <v>503</v>
      </c>
      <c r="E27" s="50">
        <v>143</v>
      </c>
      <c r="F27" s="65">
        <v>600</v>
      </c>
      <c r="G27" s="65">
        <v>400</v>
      </c>
      <c r="H27" s="65">
        <v>85800</v>
      </c>
      <c r="I27" s="65">
        <f t="shared" si="0"/>
        <v>28600</v>
      </c>
    </row>
    <row r="28" spans="1:9" x14ac:dyDescent="0.3">
      <c r="A28" s="51">
        <v>44452</v>
      </c>
      <c r="B28" s="50" t="s">
        <v>500</v>
      </c>
      <c r="C28" s="50" t="s">
        <v>486</v>
      </c>
      <c r="D28" s="50" t="s">
        <v>490</v>
      </c>
      <c r="E28" s="50">
        <v>143</v>
      </c>
      <c r="F28" s="65">
        <v>3500</v>
      </c>
      <c r="G28" s="65">
        <v>2500</v>
      </c>
      <c r="H28" s="65">
        <v>500500</v>
      </c>
      <c r="I28" s="65">
        <f t="shared" si="0"/>
        <v>143000</v>
      </c>
    </row>
    <row r="29" spans="1:9" x14ac:dyDescent="0.3">
      <c r="A29" s="51">
        <v>44496</v>
      </c>
      <c r="B29" s="50" t="s">
        <v>502</v>
      </c>
      <c r="C29" s="50" t="s">
        <v>495</v>
      </c>
      <c r="D29" s="50" t="s">
        <v>503</v>
      </c>
      <c r="E29" s="50">
        <v>99</v>
      </c>
      <c r="F29" s="65">
        <v>600</v>
      </c>
      <c r="G29" s="65">
        <v>400</v>
      </c>
      <c r="H29" s="65">
        <v>59400</v>
      </c>
      <c r="I29" s="65">
        <f t="shared" si="0"/>
        <v>19800</v>
      </c>
    </row>
    <row r="30" spans="1:9" x14ac:dyDescent="0.3">
      <c r="A30" s="51">
        <v>44187</v>
      </c>
      <c r="B30" s="50" t="s">
        <v>494</v>
      </c>
      <c r="C30" s="50" t="s">
        <v>486</v>
      </c>
      <c r="D30" s="50" t="s">
        <v>496</v>
      </c>
      <c r="E30" s="50">
        <v>120</v>
      </c>
      <c r="F30" s="65">
        <v>1000</v>
      </c>
      <c r="G30" s="65">
        <v>700</v>
      </c>
      <c r="H30" s="65">
        <v>120000</v>
      </c>
      <c r="I30" s="65">
        <f t="shared" si="0"/>
        <v>36000</v>
      </c>
    </row>
    <row r="31" spans="1:9" x14ac:dyDescent="0.3">
      <c r="A31" s="51">
        <v>44405</v>
      </c>
      <c r="B31" s="50" t="s">
        <v>488</v>
      </c>
      <c r="C31" s="50" t="s">
        <v>492</v>
      </c>
      <c r="D31" s="50" t="s">
        <v>490</v>
      </c>
      <c r="E31" s="50">
        <v>66</v>
      </c>
      <c r="F31" s="65">
        <v>3500</v>
      </c>
      <c r="G31" s="65">
        <v>2500</v>
      </c>
      <c r="H31" s="65">
        <v>231000</v>
      </c>
      <c r="I31" s="65">
        <f t="shared" si="0"/>
        <v>66000</v>
      </c>
    </row>
    <row r="32" spans="1:9" x14ac:dyDescent="0.3">
      <c r="A32" s="51">
        <v>44103</v>
      </c>
      <c r="B32" s="50" t="s">
        <v>502</v>
      </c>
      <c r="C32" s="50" t="s">
        <v>495</v>
      </c>
      <c r="D32" s="50" t="s">
        <v>493</v>
      </c>
      <c r="E32" s="50">
        <v>88</v>
      </c>
      <c r="F32" s="65">
        <v>1200</v>
      </c>
      <c r="G32" s="65">
        <v>800</v>
      </c>
      <c r="H32" s="65">
        <v>105600</v>
      </c>
      <c r="I32" s="65">
        <f t="shared" si="0"/>
        <v>35200</v>
      </c>
    </row>
    <row r="33" spans="1:9" x14ac:dyDescent="0.3">
      <c r="A33" s="51">
        <v>44126</v>
      </c>
      <c r="B33" s="50" t="s">
        <v>494</v>
      </c>
      <c r="C33" s="50" t="s">
        <v>489</v>
      </c>
      <c r="D33" s="50" t="s">
        <v>505</v>
      </c>
      <c r="E33" s="50">
        <v>127</v>
      </c>
      <c r="F33" s="65">
        <v>10000</v>
      </c>
      <c r="G33" s="65">
        <v>7000</v>
      </c>
      <c r="H33" s="65">
        <v>1270000</v>
      </c>
      <c r="I33" s="65">
        <f t="shared" si="0"/>
        <v>381000</v>
      </c>
    </row>
    <row r="34" spans="1:9" x14ac:dyDescent="0.3">
      <c r="A34" s="51">
        <v>43970</v>
      </c>
      <c r="B34" s="50" t="s">
        <v>497</v>
      </c>
      <c r="C34" s="50" t="s">
        <v>486</v>
      </c>
      <c r="D34" s="50" t="s">
        <v>498</v>
      </c>
      <c r="E34" s="50">
        <v>67</v>
      </c>
      <c r="F34" s="65">
        <v>4000</v>
      </c>
      <c r="G34" s="65">
        <v>3000</v>
      </c>
      <c r="H34" s="65">
        <v>268000</v>
      </c>
      <c r="I34" s="65">
        <f t="shared" si="0"/>
        <v>67000</v>
      </c>
    </row>
    <row r="35" spans="1:9" x14ac:dyDescent="0.3">
      <c r="A35" s="51">
        <v>44536</v>
      </c>
      <c r="B35" s="50" t="s">
        <v>488</v>
      </c>
      <c r="C35" s="50" t="s">
        <v>489</v>
      </c>
      <c r="D35" s="50" t="s">
        <v>493</v>
      </c>
      <c r="E35" s="50">
        <v>67</v>
      </c>
      <c r="F35" s="65">
        <v>1200</v>
      </c>
      <c r="G35" s="65">
        <v>800</v>
      </c>
      <c r="H35" s="65">
        <v>80400</v>
      </c>
      <c r="I35" s="65">
        <f t="shared" si="0"/>
        <v>26800</v>
      </c>
    </row>
    <row r="36" spans="1:9" x14ac:dyDescent="0.3">
      <c r="A36" s="51">
        <v>44069</v>
      </c>
      <c r="B36" s="50" t="s">
        <v>504</v>
      </c>
      <c r="C36" s="50" t="s">
        <v>492</v>
      </c>
      <c r="D36" s="50" t="s">
        <v>496</v>
      </c>
      <c r="E36" s="50">
        <v>149</v>
      </c>
      <c r="F36" s="65">
        <v>1000</v>
      </c>
      <c r="G36" s="65">
        <v>700</v>
      </c>
      <c r="H36" s="65">
        <v>149000</v>
      </c>
      <c r="I36" s="65">
        <f t="shared" si="0"/>
        <v>44700</v>
      </c>
    </row>
    <row r="37" spans="1:9" x14ac:dyDescent="0.3">
      <c r="A37" s="51">
        <v>44378</v>
      </c>
      <c r="B37" s="50" t="s">
        <v>497</v>
      </c>
      <c r="C37" s="50" t="s">
        <v>495</v>
      </c>
      <c r="D37" s="50" t="s">
        <v>503</v>
      </c>
      <c r="E37" s="50">
        <v>104</v>
      </c>
      <c r="F37" s="65">
        <v>600</v>
      </c>
      <c r="G37" s="65">
        <v>400</v>
      </c>
      <c r="H37" s="65">
        <v>62400</v>
      </c>
      <c r="I37" s="65">
        <f t="shared" si="0"/>
        <v>20800</v>
      </c>
    </row>
    <row r="38" spans="1:9" x14ac:dyDescent="0.3">
      <c r="A38" s="51">
        <v>44404</v>
      </c>
      <c r="B38" s="50" t="s">
        <v>501</v>
      </c>
      <c r="C38" s="50" t="s">
        <v>486</v>
      </c>
      <c r="D38" s="50" t="s">
        <v>503</v>
      </c>
      <c r="E38" s="50">
        <v>57</v>
      </c>
      <c r="F38" s="65">
        <v>600</v>
      </c>
      <c r="G38" s="65">
        <v>400</v>
      </c>
      <c r="H38" s="65">
        <v>34200</v>
      </c>
      <c r="I38" s="65">
        <f t="shared" si="0"/>
        <v>11400</v>
      </c>
    </row>
    <row r="39" spans="1:9" x14ac:dyDescent="0.3">
      <c r="A39" s="51">
        <v>44109</v>
      </c>
      <c r="B39" s="50" t="s">
        <v>491</v>
      </c>
      <c r="C39" s="50" t="s">
        <v>489</v>
      </c>
      <c r="D39" s="50" t="s">
        <v>503</v>
      </c>
      <c r="E39" s="50">
        <v>90</v>
      </c>
      <c r="F39" s="65">
        <v>600</v>
      </c>
      <c r="G39" s="65">
        <v>400</v>
      </c>
      <c r="H39" s="65">
        <v>54000</v>
      </c>
      <c r="I39" s="65">
        <f t="shared" si="0"/>
        <v>18000</v>
      </c>
    </row>
    <row r="40" spans="1:9" x14ac:dyDescent="0.3">
      <c r="A40" s="51">
        <v>44076</v>
      </c>
      <c r="B40" s="50" t="s">
        <v>499</v>
      </c>
      <c r="C40" s="50" t="s">
        <v>492</v>
      </c>
      <c r="D40" s="50" t="s">
        <v>503</v>
      </c>
      <c r="E40" s="50">
        <v>67</v>
      </c>
      <c r="F40" s="65">
        <v>600</v>
      </c>
      <c r="G40" s="65">
        <v>400</v>
      </c>
      <c r="H40" s="65">
        <v>40200</v>
      </c>
      <c r="I40" s="65">
        <f t="shared" si="0"/>
        <v>13400</v>
      </c>
    </row>
    <row r="41" spans="1:9" x14ac:dyDescent="0.3">
      <c r="A41" s="51">
        <v>44441</v>
      </c>
      <c r="B41" s="50" t="s">
        <v>485</v>
      </c>
      <c r="C41" s="50" t="s">
        <v>495</v>
      </c>
      <c r="D41" s="50" t="s">
        <v>498</v>
      </c>
      <c r="E41" s="50">
        <v>127</v>
      </c>
      <c r="F41" s="65">
        <v>4000</v>
      </c>
      <c r="G41" s="65">
        <v>3000</v>
      </c>
      <c r="H41" s="65">
        <v>508000</v>
      </c>
      <c r="I41" s="65">
        <f t="shared" si="0"/>
        <v>127000</v>
      </c>
    </row>
    <row r="42" spans="1:9" x14ac:dyDescent="0.3">
      <c r="A42" s="51">
        <v>44299</v>
      </c>
      <c r="B42" s="50" t="s">
        <v>499</v>
      </c>
      <c r="C42" s="50" t="s">
        <v>486</v>
      </c>
      <c r="D42" s="50" t="s">
        <v>496</v>
      </c>
      <c r="E42" s="50">
        <v>108</v>
      </c>
      <c r="F42" s="65">
        <v>1000</v>
      </c>
      <c r="G42" s="65">
        <v>700</v>
      </c>
      <c r="H42" s="65">
        <v>108000</v>
      </c>
      <c r="I42" s="65">
        <f t="shared" si="0"/>
        <v>32400</v>
      </c>
    </row>
    <row r="43" spans="1:9" x14ac:dyDescent="0.3">
      <c r="A43" s="51">
        <v>44322</v>
      </c>
      <c r="B43" s="50" t="s">
        <v>491</v>
      </c>
      <c r="C43" s="50" t="s">
        <v>489</v>
      </c>
      <c r="D43" s="50" t="s">
        <v>490</v>
      </c>
      <c r="E43" s="50">
        <v>66</v>
      </c>
      <c r="F43" s="65">
        <v>3500</v>
      </c>
      <c r="G43" s="65">
        <v>2500</v>
      </c>
      <c r="H43" s="65">
        <v>231000</v>
      </c>
      <c r="I43" s="65">
        <f t="shared" si="0"/>
        <v>66000</v>
      </c>
    </row>
    <row r="44" spans="1:9" x14ac:dyDescent="0.3">
      <c r="A44" s="51">
        <v>44211</v>
      </c>
      <c r="B44" s="50" t="s">
        <v>485</v>
      </c>
      <c r="C44" s="50" t="s">
        <v>495</v>
      </c>
      <c r="D44" s="50" t="s">
        <v>487</v>
      </c>
      <c r="E44" s="50">
        <v>78</v>
      </c>
      <c r="F44" s="65">
        <v>6000</v>
      </c>
      <c r="G44" s="65">
        <v>4000</v>
      </c>
      <c r="H44" s="65">
        <v>468000</v>
      </c>
      <c r="I44" s="65">
        <f t="shared" si="0"/>
        <v>156000</v>
      </c>
    </row>
    <row r="45" spans="1:9" x14ac:dyDescent="0.3">
      <c r="A45" s="51">
        <v>44070</v>
      </c>
      <c r="B45" s="50" t="s">
        <v>501</v>
      </c>
      <c r="C45" s="50" t="s">
        <v>492</v>
      </c>
      <c r="D45" s="50" t="s">
        <v>496</v>
      </c>
      <c r="E45" s="50">
        <v>69</v>
      </c>
      <c r="F45" s="65">
        <v>1000</v>
      </c>
      <c r="G45" s="65">
        <v>700</v>
      </c>
      <c r="H45" s="65">
        <v>69000</v>
      </c>
      <c r="I45" s="65">
        <f t="shared" si="0"/>
        <v>20700</v>
      </c>
    </row>
    <row r="46" spans="1:9" x14ac:dyDescent="0.3">
      <c r="A46" s="51">
        <v>44413</v>
      </c>
      <c r="B46" s="50" t="s">
        <v>497</v>
      </c>
      <c r="C46" s="50" t="s">
        <v>486</v>
      </c>
      <c r="D46" s="50" t="s">
        <v>493</v>
      </c>
      <c r="E46" s="50">
        <v>59</v>
      </c>
      <c r="F46" s="65">
        <v>1200</v>
      </c>
      <c r="G46" s="65">
        <v>800</v>
      </c>
      <c r="H46" s="65">
        <v>70800</v>
      </c>
      <c r="I46" s="65">
        <f t="shared" si="0"/>
        <v>23600</v>
      </c>
    </row>
    <row r="47" spans="1:9" x14ac:dyDescent="0.3">
      <c r="A47" s="51">
        <v>44517</v>
      </c>
      <c r="B47" s="50" t="s">
        <v>504</v>
      </c>
      <c r="C47" s="50" t="s">
        <v>492</v>
      </c>
      <c r="D47" s="50" t="s">
        <v>503</v>
      </c>
      <c r="E47" s="50">
        <v>109</v>
      </c>
      <c r="F47" s="65">
        <v>600</v>
      </c>
      <c r="G47" s="65">
        <v>400</v>
      </c>
      <c r="H47" s="65">
        <v>65400</v>
      </c>
      <c r="I47" s="65">
        <f t="shared" si="0"/>
        <v>21800</v>
      </c>
    </row>
    <row r="48" spans="1:9" x14ac:dyDescent="0.3">
      <c r="A48" s="51">
        <v>44193</v>
      </c>
      <c r="B48" s="50" t="s">
        <v>502</v>
      </c>
      <c r="C48" s="50" t="s">
        <v>489</v>
      </c>
      <c r="D48" s="50" t="s">
        <v>498</v>
      </c>
      <c r="E48" s="50">
        <v>61</v>
      </c>
      <c r="F48" s="65">
        <v>4000</v>
      </c>
      <c r="G48" s="65">
        <v>3000</v>
      </c>
      <c r="H48" s="65">
        <v>244000</v>
      </c>
      <c r="I48" s="65">
        <f t="shared" si="0"/>
        <v>61000</v>
      </c>
    </row>
    <row r="49" spans="1:9" x14ac:dyDescent="0.3">
      <c r="A49" s="51">
        <v>44496</v>
      </c>
      <c r="B49" s="50" t="s">
        <v>497</v>
      </c>
      <c r="C49" s="50" t="s">
        <v>495</v>
      </c>
      <c r="D49" s="50" t="s">
        <v>503</v>
      </c>
      <c r="E49" s="50">
        <v>130</v>
      </c>
      <c r="F49" s="65">
        <v>600</v>
      </c>
      <c r="G49" s="65">
        <v>400</v>
      </c>
      <c r="H49" s="65">
        <v>78000</v>
      </c>
      <c r="I49" s="65">
        <f t="shared" si="0"/>
        <v>26000</v>
      </c>
    </row>
    <row r="50" spans="1:9" x14ac:dyDescent="0.3">
      <c r="A50" s="51">
        <v>44502</v>
      </c>
      <c r="B50" s="50" t="s">
        <v>494</v>
      </c>
      <c r="C50" s="50" t="s">
        <v>492</v>
      </c>
      <c r="D50" s="50" t="s">
        <v>490</v>
      </c>
      <c r="E50" s="50">
        <v>60</v>
      </c>
      <c r="F50" s="65">
        <v>3500</v>
      </c>
      <c r="G50" s="65">
        <v>2500</v>
      </c>
      <c r="H50" s="65">
        <v>210000</v>
      </c>
      <c r="I50" s="65">
        <f t="shared" si="0"/>
        <v>60000</v>
      </c>
    </row>
    <row r="51" spans="1:9" x14ac:dyDescent="0.3">
      <c r="A51" s="51">
        <v>43958</v>
      </c>
      <c r="B51" s="50" t="s">
        <v>488</v>
      </c>
      <c r="C51" s="50" t="s">
        <v>489</v>
      </c>
      <c r="D51" s="50" t="s">
        <v>487</v>
      </c>
      <c r="E51" s="50">
        <v>73</v>
      </c>
      <c r="F51" s="65">
        <v>6000</v>
      </c>
      <c r="G51" s="65">
        <v>4000</v>
      </c>
      <c r="H51" s="65">
        <v>438000</v>
      </c>
      <c r="I51" s="65">
        <f t="shared" si="0"/>
        <v>146000</v>
      </c>
    </row>
    <row r="52" spans="1:9" x14ac:dyDescent="0.3">
      <c r="I52"/>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31588-B8F3-4A45-810A-2E9F6EACDE97}">
  <dimension ref="F8"/>
  <sheetViews>
    <sheetView showGridLines="0" showRowColHeaders="0" tabSelected="1" zoomScale="60" zoomScaleNormal="58" workbookViewId="0">
      <selection activeCell="Z34" sqref="Z34"/>
    </sheetView>
  </sheetViews>
  <sheetFormatPr defaultRowHeight="14.4" x14ac:dyDescent="0.3"/>
  <sheetData>
    <row r="8" spans="6:6" ht="17.399999999999999" x14ac:dyDescent="0.45">
      <c r="F8" s="6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Sheet1</vt:lpstr>
      <vt:lpstr>sheet 2</vt:lpstr>
      <vt:lpstr>Sheet4</vt:lpstr>
      <vt:lpstr>Sheet6</vt:lpstr>
      <vt:lpstr>Sheet5</vt:lpstr>
      <vt:lpstr>Sheet3</vt:lpstr>
      <vt:lpstr>Sheet2</vt:lpstr>
      <vt:lpstr>Sheet7</vt:lpstr>
      <vt:lpstr>Sheet8</vt:lpstr>
      <vt:lpstr>Sheet9</vt:lpstr>
      <vt:lpstr>Sheet10</vt:lpstr>
      <vt:lpstr>Sheet12</vt:lpstr>
      <vt:lpstr>Sheet13</vt:lpstr>
      <vt:lpstr>Sheet15</vt:lpstr>
      <vt:lpstr>PIVOT TABLE</vt:lpstr>
      <vt:lpstr>Sheet16</vt:lpstr>
      <vt:lpstr>Sheet17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Rohith IPRR</dc:creator>
  <cp:lastModifiedBy>Rohith IPRR</cp:lastModifiedBy>
  <dcterms:created xsi:type="dcterms:W3CDTF">2026-04-06T03:03:14Z</dcterms:created>
  <dcterms:modified xsi:type="dcterms:W3CDTF">2026-10-12T04:58:33Z</dcterms:modified>
</cp:coreProperties>
</file>